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5e5cae46a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f849633f47449b"/>
    <x:sheet xmlns:r="http://schemas.openxmlformats.org/officeDocument/2006/relationships" name="Assumptions" sheetId="2" r:id="R53e8be7c4d434471"/>
    <x:sheet xmlns:r="http://schemas.openxmlformats.org/officeDocument/2006/relationships" name="Policies" sheetId="3" r:id="Re4c2b48b20324499"/>
    <x:sheet xmlns:r="http://schemas.openxmlformats.org/officeDocument/2006/relationships" name="Monthly snapshot" sheetId="4" r:id="R54c9a3597135474b"/>
    <x:sheet xmlns:r="http://schemas.openxmlformats.org/officeDocument/2006/relationships" name="Cohort snapshot" sheetId="5" r:id="Rba342da39cfd4470"/>
    <x:sheet xmlns:r="http://schemas.openxmlformats.org/officeDocument/2006/relationships" name="Loan benchmark" sheetId="6" r:id="Reff58c99b46a48b8"/>
    <x:sheet xmlns:r="http://schemas.openxmlformats.org/officeDocument/2006/relationships" name="Default benchmark" sheetId="7" r:id="R27ea658bd7b4408e"/>
    <x:sheet xmlns:r="http://schemas.openxmlformats.org/officeDocument/2006/relationships" name="Checks" sheetId="8" r:id="R2993be97a2394fc4"/>
    <x:sheet xmlns:r="http://schemas.openxmlformats.org/officeDocument/2006/relationships" name="Sources" sheetId="9" r:id="R0de4744ae2bf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($#,##0.00);&quot;-&quot;"/>
    <x:numFmt numFmtId="201" formatCode="0.00%"/>
    <x:numFmt numFmtId="202" formatCode="#,##0.00;(#,##0.00);&quot;-&quot;"/>
    <x:numFmt numFmtId="203" formatCode="0.0%"/>
    <x:numFmt numFmtId="204" formatCode="0.00"/>
    <x:numFmt numFmtId="205" formatCode="0.00E+00"/>
  </x:numFmts>
  <x:fonts count="6">
    <x:font>
      <x:sz val="11"/>
      <x:name val="Carlito"/>
    </x:font>
    <x:font>
      <x:sz val="10"/>
      <x:color rgb="FF182C3E"/>
      <x:name val="Arial"/>
    </x:font>
    <x:font>
      <x:b/>
      <x:sz val="14"/>
      <x:color rgb="FF182C3E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sz val="10"/>
      <x:color rgb="FF1D4ED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4"/>
      </x:patternFill>
    </x:fill>
    <x:fill>
      <x:patternFill patternType="solid">
        <x:fgColor rgb="FFFFF4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9f9fd98ed41f1" /><Relationship Type="http://schemas.openxmlformats.org/officeDocument/2006/relationships/theme" Target="/xl/theme/theme1.xml" Id="R284b0fd329c84931" /><Relationship Type="http://schemas.microsoft.com/office/2022/11/relationships/FeaturePropertyBag" Target="/xl/featurePropertyBag/featurePropertyBag.xml" Id="R6615571f2eff40b2" /><Relationship Type="http://schemas.openxmlformats.org/officeDocument/2006/relationships/sharedStrings" Target="/xl/sharedStrings.xml" Id="R89122681bc754064" /><Relationship Type="http://schemas.openxmlformats.org/officeDocument/2006/relationships/worksheet" Target="/xl/worksheets/sheet1.xml" Id="R12f849633f47449b" /><Relationship Type="http://schemas.openxmlformats.org/officeDocument/2006/relationships/worksheet" Target="/xl/worksheets/sheet2.xml" Id="R53e8be7c4d434471" /><Relationship Type="http://schemas.openxmlformats.org/officeDocument/2006/relationships/worksheet" Target="/xl/worksheets/sheet3.xml" Id="Re4c2b48b20324499" /><Relationship Type="http://schemas.openxmlformats.org/officeDocument/2006/relationships/worksheet" Target="/xl/worksheets/sheet4.xml" Id="R54c9a3597135474b" /><Relationship Type="http://schemas.openxmlformats.org/officeDocument/2006/relationships/worksheet" Target="/xl/worksheets/sheet5.xml" Id="Rba342da39cfd4470" /><Relationship Type="http://schemas.openxmlformats.org/officeDocument/2006/relationships/worksheet" Target="/xl/worksheets/sheet6.xml" Id="Reff58c99b46a48b8" /><Relationship Type="http://schemas.openxmlformats.org/officeDocument/2006/relationships/worksheet" Target="/xl/worksheets/sheet7.xml" Id="R27ea658bd7b4408e" /><Relationship Type="http://schemas.openxmlformats.org/officeDocument/2006/relationships/worksheet" Target="/xl/worksheets/sheet8.xml" Id="R2993be97a2394fc4" /><Relationship Type="http://schemas.openxmlformats.org/officeDocument/2006/relationships/worksheet" Target="/xl/worksheets/sheet9.xml" Id="R0de4744ae2bf4b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95" hidden="0" customWidth="1"/>
  </x:cols>
  <x:sheetData>
    <x:row r="1" ht="20" customHeight="1">
      <x:c r="A1" s="6" t="str">
        <x:v>Lending scenario (USD)</x:v>
      </x:c>
      <x:c r="B1" s="2"/>
    </x:row>
    <x:row r="2" ht="20" customHeight="1">
      <x:c r="A2" s="2" t="str">
        <x:v>Selected policy</x:v>
      </x:c>
      <x:c r="B2" s="2" t="str">
        <x:v>Conservative</x:v>
      </x:c>
    </x:row>
    <x:row r="3" ht="20" customHeight="1">
      <x:c r="A3" s="2" t="str">
        <x:v>Basis</x:v>
      </x:c>
      <x:c r="B3" s="2" t="str">
        <x:v>Synthetic expected-value projection, uncalibrated</x:v>
      </x:c>
    </x:row>
    <x:row r="4" ht="20" customHeight="1">
      <x:c r="A4" s="2" t="str">
        <x:v>Operating result: first 24 months</x:v>
      </x:c>
      <x:c r="B4" s="3" t="n">
        <x:v>98959.87304255235</x:v>
      </x:c>
    </x:row>
    <x:row r="5" ht="20" customHeight="1">
      <x:c r="A5" s="2" t="str">
        <x:v>Operating result: full runoff</x:v>
      </x:c>
      <x:c r="B5" s="3" t="n">
        <x:v>48132.73278806946</x:v>
      </x:c>
    </x:row>
    <x:row r="6" ht="20" customHeight="1">
      <x:c r="A6" s="2" t="str">
        <x:v>Contribution: full runoff</x:v>
      </x:c>
      <x:c r="B6" s="3" t="n">
        <x:v>340632.73278806946</x:v>
      </x:c>
    </x:row>
    <x:row r="7" ht="20" customHeight="1">
      <x:c r="A7" s="2" t="str">
        <x:v>Lowest month-end cash</x:v>
      </x:c>
      <x:c r="B7" s="3" t="n">
        <x:v>147450.00449477482</x:v>
      </x:c>
    </x:row>
    <x:row r="8" ht="20" customHeight="1">
      <x:c r="A8" s="2" t="str">
        <x:v>Net loss / original funded principal</x:v>
      </x:c>
      <x:c r="B8" s="4" t="n">
        <x:v>0.008371536411558935</x:v>
      </x:c>
    </x:row>
    <x:row r="9" ht="20" customHeight="1">
      <x:c r="A9" s="2" t="str">
        <x:v>Additional equity to meet cash floor</x:v>
      </x:c>
      <x:c r="B9" s="5" t="n">
        <x:v>0</x:v>
      </x:c>
    </x:row>
    <x:row r="10" ht="20" customHeight="1">
      <x:c r="A10" s="2" t="str">
        <x:v>Expected funded loans</x:v>
      </x:c>
      <x:c r="B10" s="5" t="n">
        <x:v>4500</x:v>
      </x:c>
    </x:row>
    <x:row r="11" ht="20" customHeight="1">
      <x:c r="A11" s="2" t="str">
        <x:v>Funded principal</x:v>
      </x:c>
      <x:c r="B11" s="5" t="n">
        <x:v>6699873.18</x:v>
      </x:c>
    </x:row>
    <x:row r="12" ht="20" customHeight="1">
      <x:c r="A12" s="2" t="str">
        <x:v>Contribution / funded loan</x:v>
      </x:c>
      <x:c r="B12" s="5" t="n">
        <x:v>75.69616284179321</x:v>
      </x:c>
    </x:row>
    <x:row r="13" ht="20" customHeight="1">
      <x:c r="A13" s="2"/>
      <x:c r="B13" s="2"/>
    </x:row>
    <x:row r="14" ht="20" customHeight="1">
      <x:c r="A14" s="2" t="str">
        <x:v>Workbook behavior</x:v>
      </x:c>
      <x:c r="B14" s="2" t="str">
        <x:v>Saved portfolio outputs; rerun the app to refresh. Benchmark cells recalculate independently.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4" hidden="0" customWidth="1"/>
    <x:col min="2" max="2" width="70" hidden="0" customWidth="1"/>
    <x:col min="3" max="3" width="36" hidden="0" customWidth="1"/>
    <x:col min="4" max="4" width="16" hidden="0" customWidth="1"/>
    <x:col min="5" max="5" width="76" hidden="0" customWidth="1"/>
    <x:col min="6" max="6" width="27" hidden="0" customWidth="1"/>
    <x:col min="7" max="7" width="15" hidden="0" customWidth="1"/>
  </x:cols>
  <x:sheetData>
    <x:row r="1" ht="36" customHeight="1">
      <x:c r="A1" s="9" t="str">
        <x:v>Run manifest</x:v>
      </x:c>
      <x:c r="B1" s="9" t="str">
        <x:v>Selected scenario</x:v>
      </x:c>
      <x:c r="C1" s="9"/>
      <x:c r="D1" s="9"/>
      <x:c r="E1" s="9"/>
      <x:c r="F1" s="9"/>
      <x:c r="G1" s="9"/>
    </x:row>
    <x:row r="2" ht="20" customHeight="1">
      <x:c r="A2" s="2" t="str">
        <x:v>Run ID</x:v>
      </x:c>
      <x:c r="B2" s="2" t="str">
        <x:v>5a88f7bef3fa93d4</x:v>
      </x:c>
      <x:c r="C2" s="2"/>
      <x:c r="D2" s="2"/>
      <x:c r="E2" s="2"/>
      <x:c r="F2" s="2"/>
      <x:c r="G2" s="2"/>
    </x:row>
    <x:row r="3" ht="20" customHeight="1">
      <x:c r="A3" s="2" t="str">
        <x:v>Policy</x:v>
      </x:c>
      <x:c r="B3" s="2" t="str">
        <x:v>conservative</x:v>
      </x:c>
      <x:c r="C3" s="2"/>
      <x:c r="D3" s="2"/>
      <x:c r="E3" s="2"/>
      <x:c r="F3" s="2"/>
      <x:c r="G3" s="2"/>
    </x:row>
    <x:row r="4" ht="20" customHeight="1">
      <x:c r="A4" s="2" t="str">
        <x:v>Dataset hash</x:v>
      </x:c>
      <x:c r="B4" s="2" t="str">
        <x:v>ae93b99dafe7655cc435e73a892a3a34e0a24378de890580f06dfb57fc60a67f</x:v>
      </x:c>
      <x:c r="C4" s="2"/>
      <x:c r="D4" s="2"/>
      <x:c r="E4" s="2"/>
      <x:c r="F4" s="2"/>
      <x:c r="G4" s="2"/>
    </x:row>
    <x:row r="5" ht="20" customHeight="1">
      <x:c r="A5" s="2" t="str">
        <x:v>Model version</x:v>
      </x:c>
      <x:c r="B5" s="2" t="str">
        <x:v>0.1.0</x:v>
      </x:c>
      <x:c r="C5" s="2"/>
      <x:c r="D5" s="2"/>
      <x:c r="E5" s="2"/>
      <x:c r="F5" s="2"/>
      <x:c r="G5" s="2"/>
    </x:row>
    <x:row r="6" ht="20" customHeight="1">
      <x:c r="A6" s="2" t="str">
        <x:v>Full-runoff months</x:v>
      </x:c>
      <x:c r="B6" s="2" t="n">
        <x:v>39</x:v>
      </x:c>
      <x:c r="C6" s="2"/>
      <x:c r="D6" s="2"/>
      <x:c r="E6" s="2"/>
      <x:c r="F6" s="2"/>
      <x:c r="G6" s="2"/>
    </x:row>
    <x:row r="7" ht="20" customHeight="1">
      <x:c r="A7" s="2" t="str">
        <x:v>Currency</x:v>
      </x:c>
      <x:c r="B7" s="2" t="str">
        <x:v>USD</x:v>
      </x:c>
      <x:c r="C7" s="2"/>
      <x:c r="D7" s="2"/>
      <x:c r="E7" s="2"/>
      <x:c r="F7" s="2"/>
      <x:c r="G7" s="2"/>
    </x:row>
    <x:row r="8" ht="20" customHeight="1">
      <x:c r="A8" s="2" t="str">
        <x:v>Evidence</x:v>
      </x:c>
      <x:c r="B8" s="2" t="str">
        <x:v>Contextual comparison only; no historical calibration</x:v>
      </x:c>
      <x:c r="C8" s="2"/>
      <x:c r="D8" s="2"/>
      <x:c r="E8" s="2"/>
      <x:c r="F8" s="2"/>
      <x:c r="G8" s="2"/>
    </x:row>
    <x:row r="9" ht="20" customHeight="1">
      <x:c r="A9" s="2"/>
      <x:c r="B9" s="2"/>
      <x:c r="C9" s="2"/>
      <x:c r="D9" s="2"/>
      <x:c r="E9" s="2"/>
      <x:c r="F9" s="2"/>
      <x:c r="G9" s="2"/>
    </x:row>
    <x:row r="10" ht="20" customHeight="1">
      <x:c r="A10" s="2" t="str">
        <x:v>Assumption</x:v>
      </x:c>
      <x:c r="B10" s="2" t="str">
        <x:v>Value</x:v>
      </x:c>
      <x:c r="C10" s="2" t="str">
        <x:v>Unit</x:v>
      </x:c>
      <x:c r="D10" s="2" t="str">
        <x:v>Classification</x:v>
      </x:c>
      <x:c r="E10" s="2" t="str">
        <x:v>Timing / definition</x:v>
      </x:c>
      <x:c r="F10" s="2" t="str">
        <x:v>Source</x:v>
      </x:c>
      <x:c r="G10" s="2" t="str">
        <x:v>Source date</x:v>
      </x:c>
    </x:row>
    <x:row r="11" ht="20" customHeight="1">
      <x:c r="A11" s="2" t="str">
        <x:v>term</x:v>
      </x:c>
      <x:c r="B11" s="2" t="n">
        <x:v>12</x:v>
      </x:c>
      <x:c r="C11" s="2" t="str">
        <x:v>months</x:v>
      </x:c>
      <x:c r="D11" s="2" t="str">
        <x:v>illustrative</x:v>
      </x:c>
      <x:c r="E11" s="2" t="str">
        <x:v>fixed illustrative model input</x:v>
      </x:c>
      <x:c r="F11" s="2" t="str">
        <x:v>Project specification v1.2</x:v>
      </x:c>
      <x:c r="G11" s="2" t="str">
        <x:v>2026-10-07</x:v>
      </x:c>
    </x:row>
    <x:row r="12" ht="20" customHeight="1">
      <x:c r="A12" s="2" t="str">
        <x:v>recovery_lag</x:v>
      </x:c>
      <x:c r="B12" s="2" t="n">
        <x:v>3</x:v>
      </x:c>
      <x:c r="C12" s="2" t="str">
        <x:v>months</x:v>
      </x:c>
      <x:c r="D12" s="2" t="str">
        <x:v>illustrative</x:v>
      </x:c>
      <x:c r="E12" s="2" t="str">
        <x:v>fixed illustrative model input</x:v>
      </x:c>
      <x:c r="F12" s="2" t="str">
        <x:v>Project specification v1.2</x:v>
      </x:c>
      <x:c r="G12" s="2" t="str">
        <x:v>2026-10-07</x:v>
      </x:c>
    </x:row>
    <x:row r="13" ht="20" customHeight="1">
      <x:c r="A13" s="2" t="str">
        <x:v>borrower_rate</x:v>
      </x:c>
      <x:c r="B13" s="2" t="n">
        <x:v>0.18</x:v>
      </x:c>
      <x:c r="C13" s="2" t="str">
        <x:v>ratio</x:v>
      </x:c>
      <x:c r="D13" s="2" t="str">
        <x:v>illustrative</x:v>
      </x:c>
      <x:c r="E13" s="2" t="str">
        <x:v>monthly nominal rate = annual / 12; payments start after origination</x:v>
      </x:c>
      <x:c r="F13" s="2" t="str">
        <x:v>Project specification v1.2</x:v>
      </x:c>
      <x:c r="G13" s="2" t="str">
        <x:v>2026-10-07</x:v>
      </x:c>
    </x:row>
    <x:row r="14" ht="20" customHeight="1">
      <x:c r="A14" s="2" t="str">
        <x:v>merchant_fee</x:v>
      </x:c>
      <x:c r="B14" s="2" t="n">
        <x:v>0.02</x:v>
      </x:c>
      <x:c r="C14" s="2" t="str">
        <x:v>ratio</x:v>
      </x:c>
      <x:c r="D14" s="2" t="str">
        <x:v>illustrative</x:v>
      </x:c>
      <x:c r="E14" s="2" t="str">
        <x:v>cash and simplified management revenue at month-end origination</x:v>
      </x:c>
      <x:c r="F14" s="2" t="str">
        <x:v>Project specification v1.2</x:v>
      </x:c>
      <x:c r="G14" s="2" t="str">
        <x:v>2026-10-07</x:v>
      </x:c>
    </x:row>
    <x:row r="15" ht="20" customHeight="1">
      <x:c r="A15" s="2" t="str">
        <x:v>pd_low</x:v>
      </x:c>
      <x:c r="B15" s="2" t="n">
        <x:v>0.02</x:v>
      </x:c>
      <x:c r="C15" s="2" t="str">
        <x:v>ratio</x:v>
      </x:c>
      <x:c r="D15" s="2" t="str">
        <x:v>illustrative</x:v>
      </x:c>
      <x:c r="E15" s="2" t="str">
        <x:v>fixed illustrative model input</x:v>
      </x:c>
      <x:c r="F15" s="2" t="str">
        <x:v>Project specification v1.2</x:v>
      </x:c>
      <x:c r="G15" s="2" t="str">
        <x:v>2026-10-07</x:v>
      </x:c>
    </x:row>
    <x:row r="16" ht="20" customHeight="1">
      <x:c r="A16" s="2" t="str">
        <x:v>pd_medium</x:v>
      </x:c>
      <x:c r="B16" s="2" t="n">
        <x:v>0.06</x:v>
      </x:c>
      <x:c r="C16" s="2" t="str">
        <x:v>ratio</x:v>
      </x:c>
      <x:c r="D16" s="2" t="str">
        <x:v>illustrative</x:v>
      </x:c>
      <x:c r="E16" s="2" t="str">
        <x:v>fixed illustrative model input</x:v>
      </x:c>
      <x:c r="F16" s="2" t="str">
        <x:v>Project specification v1.2</x:v>
      </x:c>
      <x:c r="G16" s="2" t="str">
        <x:v>2026-10-07</x:v>
      </x:c>
    </x:row>
    <x:row r="17" ht="20" customHeight="1">
      <x:c r="A17" s="2" t="str">
        <x:v>pd_high</x:v>
      </x:c>
      <x:c r="B17" s="2" t="n">
        <x:v>0.12</x:v>
      </x:c>
      <x:c r="C17" s="2" t="str">
        <x:v>ratio</x:v>
      </x:c>
      <x:c r="D17" s="2" t="str">
        <x:v>illustrative</x:v>
      </x:c>
      <x:c r="E17" s="2" t="str">
        <x:v>fixed illustrative model input</x:v>
      </x:c>
      <x:c r="F17" s="2" t="str">
        <x:v>Project specification v1.2</x:v>
      </x:c>
      <x:c r="G17" s="2" t="str">
        <x:v>2026-10-07</x:v>
      </x:c>
    </x:row>
    <x:row r="18" ht="20" customHeight="1">
      <x:c r="A18" s="2" t="str">
        <x:v>default_stress</x:v>
      </x:c>
      <x:c r="B18" s="2" t="n">
        <x:v>1</x:v>
      </x:c>
      <x:c r="C18" s="2" t="str">
        <x:v>multiple</x:v>
      </x:c>
      <x:c r="D18" s="2" t="str">
        <x:v>illustrative</x:v>
      </x:c>
      <x:c r="E18" s="2" t="str">
        <x:v>multiplies lifetime PD; effective PD capped at 100%</x:v>
      </x:c>
      <x:c r="F18" s="2" t="str">
        <x:v>Project specification v1.2</x:v>
      </x:c>
      <x:c r="G18" s="2" t="str">
        <x:v>2026-10-07</x:v>
      </x:c>
    </x:row>
    <x:row r="19" ht="20" customHeight="1">
      <x:c r="A19" s="2" t="str">
        <x:v>recovery_rate</x:v>
      </x:c>
      <x:c r="B19" s="2" t="n">
        <x:v>0.25</x:v>
      </x:c>
      <x:c r="C19" s="2" t="str">
        <x:v>ratio</x:v>
      </x:c>
      <x:c r="D19" s="2" t="str">
        <x:v>illustrative</x:v>
      </x:c>
      <x:c r="E19" s="2" t="str">
        <x:v>fraction of outstanding principal charged off, received after lag</x:v>
      </x:c>
      <x:c r="F19" s="2" t="str">
        <x:v>Project specification v1.2</x:v>
      </x:c>
      <x:c r="G19" s="2" t="str">
        <x:v>2026-10-07</x:v>
      </x:c>
    </x:row>
    <x:row r="20" ht="20" customHeight="1">
      <x:c r="A20" s="2" t="str">
        <x:v>funding_rate</x:v>
      </x:c>
      <x:c r="B20" s="2" t="n">
        <x:v>0.08</x:v>
      </x:c>
      <x:c r="C20" s="2" t="str">
        <x:v>ratio</x:v>
      </x:c>
      <x:c r="D20" s="2" t="str">
        <x:v>illustrative</x:v>
      </x:c>
      <x:c r="E20" s="2" t="str">
        <x:v>annual / 12 times opening debt</x:v>
      </x:c>
      <x:c r="F20" s="2" t="str">
        <x:v>Project specification v1.2</x:v>
      </x:c>
      <x:c r="G20" s="2" t="str">
        <x:v>2026-10-07</x:v>
      </x:c>
    </x:row>
    <x:row r="21" ht="20" customHeight="1">
      <x:c r="A21" s="2" t="str">
        <x:v>advance_rate</x:v>
      </x:c>
      <x:c r="B21" s="2" t="n">
        <x:v>0.8</x:v>
      </x:c>
      <x:c r="C21" s="2" t="str">
        <x:v>ratio</x:v>
      </x:c>
      <x:c r="D21" s="2" t="str">
        <x:v>illustrative</x:v>
      </x:c>
      <x:c r="E21" s="2" t="str">
        <x:v>fixed illustrative model input</x:v>
      </x:c>
      <x:c r="F21" s="2" t="str">
        <x:v>Project specification v1.2</x:v>
      </x:c>
      <x:c r="G21" s="2" t="str">
        <x:v>2026-10-07</x:v>
      </x:c>
    </x:row>
    <x:row r="22" ht="20" customHeight="1">
      <x:c r="A22" s="2" t="str">
        <x:v>initial_cash</x:v>
      </x:c>
      <x:c r="B22" s="2" t="n">
        <x:v>500000</x:v>
      </x:c>
      <x:c r="C22" s="2" t="str">
        <x:v>USD</x:v>
      </x:c>
      <x:c r="D22" s="2" t="str">
        <x:v>illustrative</x:v>
      </x:c>
      <x:c r="E22" s="2" t="str">
        <x:v>fixed illustrative model input</x:v>
      </x:c>
      <x:c r="F22" s="2" t="str">
        <x:v>Project specification v1.2</x:v>
      </x:c>
      <x:c r="G22" s="2" t="str">
        <x:v>2026-10-07</x:v>
      </x:c>
    </x:row>
    <x:row r="23" ht="20" customHeight="1">
      <x:c r="A23" s="2" t="str">
        <x:v>facility_limit</x:v>
      </x:c>
      <x:c r="B23" s="2" t="n">
        <x:v>2000000</x:v>
      </x:c>
      <x:c r="C23" s="2" t="str">
        <x:v>USD</x:v>
      </x:c>
      <x:c r="D23" s="2" t="str">
        <x:v>illustrative</x:v>
      </x:c>
      <x:c r="E23" s="2" t="str">
        <x:v>fixed illustrative model input</x:v>
      </x:c>
      <x:c r="F23" s="2" t="str">
        <x:v>Project specification v1.2</x:v>
      </x:c>
      <x:c r="G23" s="2" t="str">
        <x:v>2026-10-07</x:v>
      </x:c>
    </x:row>
    <x:row r="24" ht="20" customHeight="1">
      <x:c r="A24" s="2" t="str">
        <x:v>acquisition_cost</x:v>
      </x:c>
      <x:c r="B24" s="2" t="n">
        <x:v>25</x:v>
      </x:c>
      <x:c r="C24" s="2" t="str">
        <x:v>USD / funded loan</x:v>
      </x:c>
      <x:c r="D24" s="2" t="str">
        <x:v>illustrative</x:v>
      </x:c>
      <x:c r="E24" s="2" t="str">
        <x:v>once per funded loan at origination</x:v>
      </x:c>
      <x:c r="F24" s="2" t="str">
        <x:v>Project specification v1.2</x:v>
      </x:c>
      <x:c r="G24" s="2" t="str">
        <x:v>2026-10-07</x:v>
      </x:c>
    </x:row>
    <x:row r="25" ht="20" customHeight="1">
      <x:c r="A25" s="2" t="str">
        <x:v>servicing_cost</x:v>
      </x:c>
      <x:c r="B25" s="2" t="n">
        <x:v>1</x:v>
      </x:c>
      <x:c r="C25" s="2" t="str">
        <x:v>USD / surviving loan / payment month</x:v>
      </x:c>
      <x:c r="D25" s="2" t="str">
        <x:v>illustrative</x:v>
      </x:c>
      <x:c r="E25" s="2" t="str">
        <x:v>each scheduled payment month, for surviving loans before repayment</x:v>
      </x:c>
      <x:c r="F25" s="2" t="str">
        <x:v>Project specification v1.2</x:v>
      </x:c>
      <x:c r="G25" s="2" t="str">
        <x:v>2026-10-07</x:v>
      </x:c>
    </x:row>
    <x:row r="26" ht="20" customHeight="1">
      <x:c r="A26" s="2" t="str">
        <x:v>monthly_opex</x:v>
      </x:c>
      <x:c r="B26" s="2" t="n">
        <x:v>7500</x:v>
      </x:c>
      <x:c r="C26" s="2" t="str">
        <x:v>USD</x:v>
      </x:c>
      <x:c r="D26" s="2" t="str">
        <x:v>illustrative</x:v>
      </x:c>
      <x:c r="E26" s="2" t="str">
        <x:v>every month, including the common runoff horizon</x:v>
      </x:c>
      <x:c r="F26" s="2" t="str">
        <x:v>Project specification v1.2</x:v>
      </x:c>
      <x:c r="G26" s="2" t="str">
        <x:v>2026-10-07</x:v>
      </x:c>
    </x:row>
    <x:row r="27" ht="20" customHeight="1">
      <x:c r="A27" s="2" t="str">
        <x:v>demand_growth</x:v>
      </x:c>
      <x:c r="B27" s="2" t="n">
        <x:v>0</x:v>
      </x:c>
      <x:c r="C27" s="2" t="str">
        <x:v>ratio</x:v>
      </x:c>
      <x:c r="D27" s="2" t="str">
        <x:v>illustrative</x:v>
      </x:c>
      <x:c r="E27" s="2" t="str">
        <x:v>monthly weight applied to fixed demand rows; no resampling</x:v>
      </x:c>
      <x:c r="F27" s="2" t="str">
        <x:v>Project specification v1.2</x:v>
      </x:c>
      <x:c r="G27" s="2" t="str">
        <x:v>2026-10-07</x:v>
      </x:c>
    </x:row>
    <x:row r="28" ht="20" customHeight="1">
      <x:c r="A28" s="2" t="str">
        <x:v>loss_cap</x:v>
      </x:c>
      <x:c r="B28" s="2" t="n">
        <x:v>0.05</x:v>
      </x:c>
      <x:c r="C28" s="2" t="str">
        <x:v>ratio</x:v>
      </x:c>
      <x:c r="D28" s="2" t="str">
        <x:v>illustrative</x:v>
      </x:c>
      <x:c r="E28" s="2" t="str">
        <x:v>full-runoff net loss / original funded principal</x:v>
      </x:c>
      <x:c r="F28" s="2" t="str">
        <x:v>Project specification v1.2</x:v>
      </x:c>
      <x:c r="G28" s="2" t="str">
        <x:v>2026-10-07</x:v>
      </x:c>
    </x:row>
    <x:row r="29" ht="20" customHeight="1">
      <x:c r="A29" s="2" t="str">
        <x:v>cash_floor</x:v>
      </x:c>
      <x:c r="B29" s="2" t="n">
        <x:v>50000</x:v>
      </x:c>
      <x:c r="C29" s="2" t="str">
        <x:v>USD</x:v>
      </x:c>
      <x:c r="D29" s="2" t="str">
        <x:v>illustrative</x:v>
      </x:c>
      <x:c r="E29" s="2" t="str">
        <x:v>lowest month-end cash across all modeled months</x:v>
      </x:c>
      <x:c r="F29" s="2" t="str">
        <x:v>Project specification v1.2</x:v>
      </x:c>
      <x:c r="G29" s="2" t="str">
        <x:v>2026-10-07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56" hidden="0" customWidth="1"/>
    <x:col min="13" max="13" width="20" hidden="0" customWidth="1"/>
  </x:cols>
  <x:sheetData>
    <x:row r="1" ht="36" customHeight="1">
      <x:c r="A1" s="9" t="str">
        <x:v>Policy</x:v>
      </x:c>
      <x:c r="B1" s="9" t="str">
        <x:v>Approval rate</x:v>
      </x:c>
      <x:c r="C1" s="9" t="str">
        <x:v>Expected funded loans</x:v>
      </x:c>
      <x:c r="D1" s="9" t="str">
        <x:v>Funded principal</x:v>
      </x:c>
      <x:c r="E1" s="9" t="str">
        <x:v>Operating result (24 months)</x:v>
      </x:c>
      <x:c r="F1" s="9" t="str">
        <x:v>Operating result (full runoff)</x:v>
      </x:c>
      <x:c r="G1" s="9" t="str">
        <x:v>Contribution per funded loan</x:v>
      </x:c>
      <x:c r="H1" s="9" t="str">
        <x:v>Net principal loss ratio</x:v>
      </x:c>
      <x:c r="I1" s="9" t="str">
        <x:v>Minimum cash</x:v>
      </x:c>
      <x:c r="J1" s="9" t="str">
        <x:v>Additional equity to meet floor</x:v>
      </x:c>
      <x:c r="K1" s="9" t="str">
        <x:v>Eligible</x:v>
      </x:c>
      <x:c r="L1" s="9" t="str">
        <x:v>Reason</x:v>
      </x:c>
      <x:c r="M1" s="9" t="str">
        <x:v>Run ID</x:v>
      </x:c>
    </x:row>
    <x:row r="2" ht="20" customHeight="1">
      <x:c r="A2" s="2" t="str">
        <x:v>Conservative</x:v>
      </x:c>
      <x:c r="B2" s="4" t="n">
        <x:v>0.45</x:v>
      </x:c>
      <x:c r="C2" s="2" t="n">
        <x:v>4500</x:v>
      </x:c>
      <x:c r="D2" s="3" t="n">
        <x:v>6699873.18</x:v>
      </x:c>
      <x:c r="E2" s="3" t="n">
        <x:v>98959.87304255235</x:v>
      </x:c>
      <x:c r="F2" s="3" t="n">
        <x:v>48132.73278806946</x:v>
      </x:c>
      <x:c r="G2" s="3" t="n">
        <x:v>75.69616284179321</x:v>
      </x:c>
      <x:c r="H2" s="4" t="n">
        <x:v>0.008371536411558935</x:v>
      </x:c>
      <x:c r="I2" s="3" t="n">
        <x:v>147450.00449477482</x:v>
      </x:c>
      <x:c r="J2" s="3" t="n">
        <x:v>0</x:v>
      </x:c>
      <x:c r="K2" s="12" t="b">
        <x:v>1</x:v>
      </x:c>
      <x:c r="L2" s="2" t="str">
        <x:v>Both limits met</x:v>
      </x:c>
      <x:c r="M2" s="2" t="str">
        <x:v>5a88f7bef3fa93d4</x:v>
      </x:c>
    </x:row>
    <x:row r="3" ht="20" customHeight="1">
      <x:c r="A3" s="2" t="str">
        <x:v>Balanced</x:v>
      </x:c>
      <x:c r="B3" s="4" t="n">
        <x:v>0.8</x:v>
      </x:c>
      <x:c r="C3" s="2" t="n">
        <x:v>8000</x:v>
      </x:c>
      <x:c r="D3" s="3" t="n">
        <x:v>11996971.71</x:v>
      </x:c>
      <x:c r="E3" s="3" t="n">
        <x:v>305862.8114496939</x:v>
      </x:c>
      <x:c r="F3" s="3" t="n">
        <x:v>294467.61983090336</x:v>
      </x:c>
      <x:c r="G3" s="3" t="n">
        <x:v>73.37095247886292</x:v>
      </x:c>
      <x:c r="H3" s="4" t="n">
        <x:v>0.01583216410713226</x:v>
      </x:c>
      <x:c r="I3" s="3" t="n">
        <x:v>-696142.9252336508</x:v>
      </x:c>
      <x:c r="J3" s="3" t="n">
        <x:v>746142.9252336508</x:v>
      </x:c>
      <x:c r="K3" s="12" t="b">
        <x:v>0</x:v>
      </x:c>
      <x:c r="L3" s="2" t="str">
        <x:v>Minimum-cash floor breached</x:v>
      </x:c>
      <x:c r="M3" s="2" t="str">
        <x:v>a2feec5a72facbc3</x:v>
      </x:c>
    </x:row>
    <x:row r="4" ht="20" customHeight="1">
      <x:c r="A4" s="2" t="str">
        <x:v>Aggressive</x:v>
      </x:c>
      <x:c r="B4" s="4" t="n">
        <x:v>1</x:v>
      </x:c>
      <x:c r="C4" s="2" t="n">
        <x:v>10000</x:v>
      </x:c>
      <x:c r="D4" s="3" t="n">
        <x:v>14989286.87</x:v>
      </x:c>
      <x:c r="E4" s="3" t="n">
        <x:v>392282.5185416791</x:v>
      </x:c>
      <x:c r="F4" s="3" t="n">
        <x:v>396445.9352429424</x:v>
      </x:c>
      <x:c r="G4" s="3" t="n">
        <x:v>68.89459352429424</x:v>
      </x:c>
      <x:c r="H4" s="4" t="n">
        <x:v>0.022857492446631253</x:v>
      </x:c>
      <x:c r="I4" s="3" t="n">
        <x:v>-1485855.1407246657</x:v>
      </x:c>
      <x:c r="J4" s="3" t="n">
        <x:v>1535855.1407246657</x:v>
      </x:c>
      <x:c r="K4" s="12" t="b">
        <x:v>0</x:v>
      </x:c>
      <x:c r="L4" s="2" t="str">
        <x:v>Minimum-cash floor breached</x:v>
      </x:c>
      <x:c r="M4" s="2" t="str">
        <x:v>5d28e1ac49bb98b2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</x:cols>
  <x:sheetData>
    <x:row r="1" ht="36" customHeight="1">
      <x:c r="A1" s="9" t="str">
        <x:v>month</x:v>
      </x:c>
      <x:c r="B1" s="9" t="str">
        <x:v>opening_principal</x:v>
      </x:c>
      <x:c r="C1" s="9" t="str">
        <x:v>originations</x:v>
      </x:c>
      <x:c r="D1" s="9" t="str">
        <x:v>principal_collections</x:v>
      </x:c>
      <x:c r="E1" s="9" t="str">
        <x:v>interest_revenue</x:v>
      </x:c>
      <x:c r="F1" s="9" t="str">
        <x:v>gross_chargeoffs</x:v>
      </x:c>
      <x:c r="G1" s="9" t="str">
        <x:v>recoveries</x:v>
      </x:c>
      <x:c r="H1" s="9" t="str">
        <x:v>ending_principal</x:v>
      </x:c>
      <x:c r="I1" s="9" t="str">
        <x:v>expected_active</x:v>
      </x:c>
      <x:c r="J1" s="9" t="str">
        <x:v>expected_defaults</x:v>
      </x:c>
      <x:c r="K1" s="9" t="str">
        <x:v>funded_loans</x:v>
      </x:c>
      <x:c r="L1" s="9" t="str">
        <x:v>merchant_fees</x:v>
      </x:c>
      <x:c r="M1" s="9" t="str">
        <x:v>acquisition_expense</x:v>
      </x:c>
      <x:c r="N1" s="9" t="str">
        <x:v>servicing_expense</x:v>
      </x:c>
      <x:c r="O1" s="9" t="str">
        <x:v>opening_debt</x:v>
      </x:c>
      <x:c r="P1" s="9" t="str">
        <x:v>ending_debt</x:v>
      </x:c>
      <x:c r="Q1" s="9" t="str">
        <x:v>net_debt_draw</x:v>
      </x:c>
      <x:c r="R1" s="9" t="str">
        <x:v>funding_expense</x:v>
      </x:c>
      <x:c r="S1" s="9" t="str">
        <x:v>platform_opex</x:v>
      </x:c>
      <x:c r="T1" s="9" t="str">
        <x:v>net_credit_loss</x:v>
      </x:c>
      <x:c r="U1" s="9" t="str">
        <x:v>contribution</x:v>
      </x:c>
      <x:c r="V1" s="9" t="str">
        <x:v>operating_result</x:v>
      </x:c>
      <x:c r="W1" s="9" t="str">
        <x:v>opening_cash</x:v>
      </x:c>
      <x:c r="X1" s="9" t="str">
        <x:v>ending_cash</x:v>
      </x:c>
    </x:row>
    <x:row r="2" ht="44" customHeight="1">
      <x:c r="A2" s="14" t="str">
        <x:v>month index, zero-based</x:v>
      </x:c>
      <x:c r="B2" s="14" t="str">
        <x:v>USD, opening balance</x:v>
      </x:c>
      <x:c r="C2" s="14" t="str">
        <x:v>USD, monthly flow</x:v>
      </x:c>
      <x:c r="D2" s="14" t="str">
        <x:v>USD, monthly flow</x:v>
      </x:c>
      <x:c r="E2" s="14" t="str">
        <x:v>USD, monthly flow</x:v>
      </x:c>
      <x:c r="F2" s="14" t="str">
        <x:v>USD, monthly flow</x:v>
      </x:c>
      <x:c r="G2" s="14" t="str">
        <x:v>USD, monthly flow</x:v>
      </x:c>
      <x:c r="H2" s="14" t="str">
        <x:v>USD, month-end balance</x:v>
      </x:c>
      <x:c r="I2" s="14" t="str">
        <x:v>expected loan/application count; may be fractional</x:v>
      </x:c>
      <x:c r="J2" s="14" t="str">
        <x:v>expected loan/application count; may be fractional</x:v>
      </x:c>
      <x:c r="K2" s="14" t="str">
        <x:v>expected loan/application count; may be fractional</x:v>
      </x:c>
      <x:c r="L2" s="14" t="str">
        <x:v>USD, monthly flow</x:v>
      </x:c>
      <x:c r="M2" s="14" t="str">
        <x:v>USD, monthly flow</x:v>
      </x:c>
      <x:c r="N2" s="14" t="str">
        <x:v>USD, monthly flow</x:v>
      </x:c>
      <x:c r="O2" s="14" t="str">
        <x:v>USD, opening balance</x:v>
      </x:c>
      <x:c r="P2" s="14" t="str">
        <x:v>USD, month-end balance</x:v>
      </x:c>
      <x:c r="Q2" s="14" t="str">
        <x:v>USD, monthly flow</x:v>
      </x:c>
      <x:c r="R2" s="14" t="str">
        <x:v>USD, monthly flow</x:v>
      </x:c>
      <x:c r="S2" s="14" t="str">
        <x:v>USD, monthly flow</x:v>
      </x:c>
      <x:c r="T2" s="14" t="str">
        <x:v>USD, monthly flow</x:v>
      </x:c>
      <x:c r="U2" s="14" t="str">
        <x:v>USD, monthly flow</x:v>
      </x:c>
      <x:c r="V2" s="14" t="str">
        <x:v>USD, monthly flow</x:v>
      </x:c>
      <x:c r="W2" s="14" t="str">
        <x:v>USD, opening balance</x:v>
      </x:c>
      <x:c r="X2" s="14" t="str">
        <x:v>USD, month-end balance</x:v>
      </x:c>
    </x:row>
    <x:row r="3" ht="20" customHeight="1">
      <x:c r="A3" s="2" t="n">
        <x:v>0</x:v>
      </x:c>
      <x:c r="B3" s="5" t="n">
        <x:v>0</x:v>
      </x:c>
      <x:c r="C3" s="5" t="n">
        <x:v>289160.12</x:v>
      </x:c>
      <x:c r="D3" s="5" t="n">
        <x:v>0</x:v>
      </x:c>
      <x:c r="E3" s="5" t="n">
        <x:v>0</x:v>
      </x:c>
      <x:c r="F3" s="5" t="n">
        <x:v>0</x:v>
      </x:c>
      <x:c r="G3" s="5" t="n">
        <x:v>0</x:v>
      </x:c>
      <x:c r="H3" s="5" t="n">
        <x:v>289160.12</x:v>
      </x:c>
      <x:c r="I3" s="5" t="n">
        <x:v>190</x:v>
      </x:c>
      <x:c r="J3" s="5" t="n">
        <x:v>0</x:v>
      </x:c>
      <x:c r="K3" s="5" t="n">
        <x:v>190</x:v>
      </x:c>
      <x:c r="L3" s="5" t="n">
        <x:v>5783.2024</x:v>
      </x:c>
      <x:c r="M3" s="5" t="n">
        <x:v>4750</x:v>
      </x:c>
      <x:c r="N3" s="5" t="n">
        <x:v>0</x:v>
      </x:c>
      <x:c r="O3" s="5" t="n">
        <x:v>0</x:v>
      </x:c>
      <x:c r="P3" s="5" t="n">
        <x:v>231328.096</x:v>
      </x:c>
      <x:c r="Q3" s="5" t="n">
        <x:v>231328.096</x:v>
      </x:c>
      <x:c r="R3" s="5" t="n">
        <x:v>0</x:v>
      </x:c>
      <x:c r="S3" s="5" t="n">
        <x:v>7500</x:v>
      </x:c>
      <x:c r="T3" s="5" t="n">
        <x:v>0</x:v>
      </x:c>
      <x:c r="U3" s="5" t="n">
        <x:v>1033.2024</x:v>
      </x:c>
      <x:c r="V3" s="5" t="n">
        <x:v>-6466.7976</x:v>
      </x:c>
      <x:c r="W3" s="5" t="n">
        <x:v>500000</x:v>
      </x:c>
      <x:c r="X3" s="5" t="n">
        <x:v>435701.1784</x:v>
      </x:c>
      <x:c r="Y3" s="13"/>
      <x:c r="Z3" s="13"/>
      <x:c r="AA3" s="13"/>
    </x:row>
    <x:row r="4" ht="20" customHeight="1">
      <x:c r="A4" s="2" t="n">
        <x:v>1</x:v>
      </x:c>
      <x:c r="B4" s="5" t="n">
        <x:v>289160.12</x:v>
      </x:c>
      <x:c r="C4" s="5" t="n">
        <x:v>261552.9</x:v>
      </x:c>
      <x:c r="D4" s="5" t="n">
        <x:v>22135.49814678299</x:v>
      </x:c>
      <x:c r="E4" s="5" t="n">
        <x:v>4330.105671863891</x:v>
      </x:c>
      <x:c r="F4" s="5" t="n">
        <x:v>486.4085424072701</x:v>
      </x:c>
      <x:c r="G4" s="5" t="n">
        <x:v>0</x:v>
      </x:c>
      <x:c r="H4" s="5" t="n">
        <x:v>528091.1133108097</x:v>
      </x:c>
      <x:c r="I4" s="5" t="n">
        <x:v>361.6803929149795</x:v>
      </x:c>
      <x:c r="J4" s="5" t="n">
        <x:v>0.31960708502051155</x:v>
      </x:c>
      <x:c r="K4" s="5" t="n">
        <x:v>172</x:v>
      </x:c>
      <x:c r="L4" s="5" t="n">
        <x:v>5231.058</x:v>
      </x:c>
      <x:c r="M4" s="5" t="n">
        <x:v>4300</x:v>
      </x:c>
      <x:c r="N4" s="5" t="n">
        <x:v>189.68039291497948</x:v>
      </x:c>
      <x:c r="O4" s="5" t="n">
        <x:v>231328.096</x:v>
      </x:c>
      <x:c r="P4" s="5" t="n">
        <x:v>422472.8906486478</x:v>
      </x:c>
      <x:c r="Q4" s="5" t="n">
        <x:v>191144.7946486478</x:v>
      </x:c>
      <x:c r="R4" s="5" t="n">
        <x:v>1542.1873066666667</x:v>
      </x:c>
      <x:c r="S4" s="5" t="n">
        <x:v>7500</x:v>
      </x:c>
      <x:c r="T4" s="5" t="n">
        <x:v>486.4085424072701</x:v>
      </x:c>
      <x:c r="U4" s="5" t="n">
        <x:v>3042.8874298749747</x:v>
      </x:c>
      <x:c r="V4" s="5" t="n">
        <x:v>-4457.112570125026</x:v>
      </x:c>
      <x:c r="W4" s="5" t="n">
        <x:v>435701.1784</x:v>
      </x:c>
      <x:c r="X4" s="5" t="n">
        <x:v>383457.867167713</x:v>
      </x:c>
      <x:c r="Y4" s="13"/>
      <x:c r="Z4" s="13"/>
      <x:c r="AA4" s="13"/>
    </x:row>
    <x:row r="5" ht="20" customHeight="1">
      <x:c r="A5" s="2" t="n">
        <x:v>2</x:v>
      </x:c>
      <x:c r="B5" s="5" t="n">
        <x:v>528091.1133108097</x:v>
      </x:c>
      <x:c r="C5" s="5" t="n">
        <x:v>263220.37</x:v>
      </x:c>
      <x:c r="D5" s="5" t="n">
        <x:v>42451.874706322385</x:v>
      </x:c>
      <x:c r="E5" s="5" t="n">
        <x:v>7908.04183166079</x:v>
      </x:c>
      <x:c r="F5" s="5" t="n">
        <x:v>888.3245334237082</x:v>
      </x:c>
      <x:c r="G5" s="5" t="n">
        <x:v>0</x:v>
      </x:c>
      <x:c r="H5" s="5" t="n">
        <x:v>747971.2840710636</x:v>
      </x:c>
      <x:c r="I5" s="5" t="n">
        <x:v>535.0719949355656</x:v>
      </x:c>
      <x:c r="J5" s="5" t="n">
        <x:v>0.6083979794138414</x:v>
      </x:c>
      <x:c r="K5" s="5" t="n">
        <x:v>174</x:v>
      </x:c>
      <x:c r="L5" s="5" t="n">
        <x:v>5264.4074</x:v>
      </x:c>
      <x:c r="M5" s="5" t="n">
        <x:v>4350</x:v>
      </x:c>
      <x:c r="N5" s="5" t="n">
        <x:v>361.07199493556567</x:v>
      </x:c>
      <x:c r="O5" s="5" t="n">
        <x:v>422472.8906486478</x:v>
      </x:c>
      <x:c r="P5" s="5" t="n">
        <x:v>598377.027256851</x:v>
      </x:c>
      <x:c r="Q5" s="5" t="n">
        <x:v>175904.13660820312</x:v>
      </x:c>
      <x:c r="R5" s="5" t="n">
        <x:v>2816.485937657652</x:v>
      </x:c>
      <x:c r="S5" s="5" t="n">
        <x:v>7500</x:v>
      </x:c>
      <x:c r="T5" s="5" t="n">
        <x:v>888.3245334237082</x:v>
      </x:c>
      <x:c r="U5" s="5" t="n">
        <x:v>4756.5667656438645</x:v>
      </x:c>
      <x:c r="V5" s="5" t="n">
        <x:v>-2743.4332343561355</x:v>
      </x:c>
      <x:c r="W5" s="5" t="n">
        <x:v>383457.867167713</x:v>
      </x:c>
      <x:c r="X5" s="5" t="n">
        <x:v>336738.3997813061</x:v>
      </x:c>
      <x:c r="Y5" s="13"/>
      <x:c r="Z5" s="13"/>
      <x:c r="AA5" s="13"/>
    </x:row>
    <x:row r="6" ht="20" customHeight="1">
      <x:c r="A6" s="2" t="n">
        <x:v>3</x:v>
      </x:c>
      <x:c r="B6" s="5" t="n">
        <x:v>747971.2840710636</x:v>
      </x:c>
      <x:c r="C6" s="5" t="n">
        <x:v>304136.54</x:v>
      </x:c>
      <x:c r="D6" s="5" t="n">
        <x:v>63165.95575345737</x:v>
      </x:c>
      <x:c r="E6" s="5" t="n">
        <x:v>11200.696346188508</x:v>
      </x:c>
      <x:c r="F6" s="5" t="n">
        <x:v>1258.1943251631665</x:v>
      </x:c>
      <x:c r="G6" s="5" t="n">
        <x:v>0</x:v>
      </x:c>
      <x:c r="H6" s="5" t="n">
        <x:v>987683.6739924431</x:v>
      </x:c>
      <x:c r="I6" s="5" t="n">
        <x:v>740.1719275641053</x:v>
      </x:c>
      <x:c r="J6" s="5" t="n">
        <x:v>0.9000673714603477</x:v>
      </x:c>
      <x:c r="K6" s="5" t="n">
        <x:v>206</x:v>
      </x:c>
      <x:c r="L6" s="5" t="n">
        <x:v>6082.7308</x:v>
      </x:c>
      <x:c r="M6" s="5" t="n">
        <x:v>5150</x:v>
      </x:c>
      <x:c r="N6" s="5" t="n">
        <x:v>534.1719275641053</x:v>
      </x:c>
      <x:c r="O6" s="5" t="n">
        <x:v>598377.027256851</x:v>
      </x:c>
      <x:c r="P6" s="5" t="n">
        <x:v>790146.9391939545</x:v>
      </x:c>
      <x:c r="Q6" s="5" t="n">
        <x:v>191769.91193710358</x:v>
      </x:c>
      <x:c r="R6" s="5" t="n">
        <x:v>3989.1801817123396</x:v>
      </x:c>
      <x:c r="S6" s="5" t="n">
        <x:v>7500</x:v>
      </x:c>
      <x:c r="T6" s="5" t="n">
        <x:v>1258.1943251631665</x:v>
      </x:c>
      <x:c r="U6" s="5" t="n">
        <x:v>6351.880711748896</x:v>
      </x:c>
      <x:c r="V6" s="5" t="n">
        <x:v>-1148.119288251104</x:v>
      </x:c>
      <x:c r="W6" s="5" t="n">
        <x:v>336738.3997813061</x:v>
      </x:c>
      <x:c r="X6" s="5" t="n">
        <x:v>287647.8025087791</x:v>
      </x:c>
      <x:c r="Y6" s="13"/>
      <x:c r="Z6" s="13"/>
      <x:c r="AA6" s="13"/>
    </x:row>
    <x:row r="7" ht="20" customHeight="1">
      <x:c r="A7" s="2" t="n">
        <x:v>4</x:v>
      </x:c>
      <x:c r="B7" s="5" t="n">
        <x:v>987683.6739924431</x:v>
      </x:c>
      <x:c r="C7" s="5" t="n">
        <x:v>285651.89</x:v>
      </x:c>
      <x:c r="D7" s="5" t="n">
        <x:v>87287.55530303543</x:v>
      </x:c>
      <x:c r="E7" s="5" t="n">
        <x:v>14790.333738836614</x:v>
      </x:c>
      <x:c r="F7" s="5" t="n">
        <x:v>1661.4247366688103</x:v>
      </x:c>
      <x:c r="G7" s="5" t="n">
        <x:v>121.60213560181752</x:v>
      </x:c>
      <x:c r="H7" s="5" t="n">
        <x:v>1184386.583952739</x:v>
      </x:c>
      <x:c r="I7" s="5" t="n">
        <x:v>928.9268528684065</x:v>
      </x:c>
      <x:c r="J7" s="5" t="n">
        <x:v>1.245074695698826</x:v>
      </x:c>
      <x:c r="K7" s="5" t="n">
        <x:v>190</x:v>
      </x:c>
      <x:c r="L7" s="5" t="n">
        <x:v>5713.0378</x:v>
      </x:c>
      <x:c r="M7" s="5" t="n">
        <x:v>4750</x:v>
      </x:c>
      <x:c r="N7" s="5" t="n">
        <x:v>738.9268528684065</x:v>
      </x:c>
      <x:c r="O7" s="5" t="n">
        <x:v>790146.9391939545</x:v>
      </x:c>
      <x:c r="P7" s="5" t="n">
        <x:v>947509.2671621911</x:v>
      </x:c>
      <x:c r="Q7" s="5" t="n">
        <x:v>157362.3279682366</x:v>
      </x:c>
      <x:c r="R7" s="5" t="n">
        <x:v>5267.64626129303</x:v>
      </x:c>
      <x:c r="S7" s="5" t="n">
        <x:v>7500</x:v>
      </x:c>
      <x:c r="T7" s="5" t="n">
        <x:v>1539.8226010669928</x:v>
      </x:c>
      <x:c r="U7" s="5" t="n">
        <x:v>8206.975823608185</x:v>
      </x:c>
      <x:c r="V7" s="5" t="n">
        <x:v>706.9758236081852</x:v>
      </x:c>
      <x:c r="W7" s="5" t="n">
        <x:v>287647.8025087791</x:v>
      </x:c>
      <x:c r="X7" s="5" t="n">
        <x:v>249014.19634032814</x:v>
      </x:c>
      <x:c r="Y7" s="13"/>
      <x:c r="Z7" s="13"/>
      <x:c r="AA7" s="13"/>
    </x:row>
    <x:row r="8" ht="20" customHeight="1">
      <x:c r="A8" s="2" t="n">
        <x:v>5</x:v>
      </x:c>
      <x:c r="B8" s="5" t="n">
        <x:v>1184386.583952739</x:v>
      </x:c>
      <x:c r="C8" s="5" t="n">
        <x:v>251214.84</x:v>
      </x:c>
      <x:c r="D8" s="5" t="n">
        <x:v>110314.7756800211</x:v>
      </x:c>
      <x:c r="E8" s="5" t="n">
        <x:v>17735.91415321467</x:v>
      </x:c>
      <x:c r="F8" s="5" t="n">
        <x:v>1992.307071760717</x:v>
      </x:c>
      <x:c r="G8" s="5" t="n">
        <x:v>222.08113335592705</x:v>
      </x:c>
      <x:c r="H8" s="5" t="n">
        <x:v>1323294.341200957</x:v>
      </x:c>
      <x:c r="I8" s="5" t="n">
        <x:v>1107.364265480814</x:v>
      </x:c>
      <x:c r="J8" s="5" t="n">
        <x:v>1.562587387592363</x:v>
      </x:c>
      <x:c r="K8" s="5" t="n">
        <x:v>180</x:v>
      </x:c>
      <x:c r="L8" s="5" t="n">
        <x:v>5024.2968</x:v>
      </x:c>
      <x:c r="M8" s="5" t="n">
        <x:v>4500</x:v>
      </x:c>
      <x:c r="N8" s="5" t="n">
        <x:v>927.3642654808141</x:v>
      </x:c>
      <x:c r="O8" s="5" t="n">
        <x:v>947509.2671621911</x:v>
      </x:c>
      <x:c r="P8" s="5" t="n">
        <x:v>1058635.4729607657</x:v>
      </x:c>
      <x:c r="Q8" s="5" t="n">
        <x:v>111126.20579857455</x:v>
      </x:c>
      <x:c r="R8" s="5" t="n">
        <x:v>6316.728447747941</x:v>
      </x:c>
      <x:c r="S8" s="5" t="n">
        <x:v>7500</x:v>
      </x:c>
      <x:c r="T8" s="5" t="n">
        <x:v>1770.22593840479</x:v>
      </x:c>
      <x:c r="U8" s="5" t="n">
        <x:v>9245.892301581127</x:v>
      </x:c>
      <x:c r="V8" s="5" t="n">
        <x:v>1745.8923015811274</x:v>
      </x:c>
      <x:c r="W8" s="5" t="n">
        <x:v>249014.19634032814</x:v>
      </x:c>
      <x:c r="X8" s="5" t="n">
        <x:v>222978.53719226565</x:v>
      </x:c>
      <x:c r="Y8" s="13"/>
      <x:c r="Z8" s="13"/>
      <x:c r="AA8" s="13"/>
    </x:row>
    <x:row r="9" ht="20" customHeight="1">
      <x:c r="A9" s="2" t="n">
        <x:v>6</x:v>
      </x:c>
      <x:c r="B9" s="5" t="n">
        <x:v>1323294.341200957</x:v>
      </x:c>
      <x:c r="C9" s="5" t="n">
        <x:v>295589.86</x:v>
      </x:c>
      <x:c r="D9" s="5" t="n">
        <x:v>131011.89744038811</x:v>
      </x:c>
      <x:c r="E9" s="5" t="n">
        <x:v>19816.02557219735</x:v>
      </x:c>
      <x:c r="F9" s="5" t="n">
        <x:v>2225.9697211335583</x:v>
      </x:c>
      <x:c r="G9" s="5" t="n">
        <x:v>314.5485812907916</x:v>
      </x:c>
      <x:c r="H9" s="5" t="n">
        <x:v>1485646.3340394355</x:v>
      </x:c>
      <x:c r="I9" s="5" t="n">
        <x:v>1290.5015209284657</x:v>
      </x:c>
      <x:c r="J9" s="5" t="n">
        <x:v>1.862744552348436</x:v>
      </x:c>
      <x:c r="K9" s="5" t="n">
        <x:v>185</x:v>
      </x:c>
      <x:c r="L9" s="5" t="n">
        <x:v>5911.7972</x:v>
      </x:c>
      <x:c r="M9" s="5" t="n">
        <x:v>4625</x:v>
      </x:c>
      <x:c r="N9" s="5" t="n">
        <x:v>1105.5015209284657</x:v>
      </x:c>
      <x:c r="O9" s="5" t="n">
        <x:v>1058635.4729607657</x:v>
      </x:c>
      <x:c r="P9" s="5" t="n">
        <x:v>1188517.0672315483</x:v>
      </x:c>
      <x:c r="Q9" s="5" t="n">
        <x:v>129881.59427078266</x:v>
      </x:c>
      <x:c r="R9" s="5" t="n">
        <x:v>7057.569819738437</x:v>
      </x:c>
      <x:c r="S9" s="5" t="n">
        <x:v>7500</x:v>
      </x:c>
      <x:c r="T9" s="5" t="n">
        <x:v>1911.4211398427667</x:v>
      </x:c>
      <x:c r="U9" s="5" t="n">
        <x:v>11028.330291687682</x:v>
      </x:c>
      <x:c r="V9" s="5" t="n">
        <x:v>3528.3302916876823</x:v>
      </x:c>
      <x:c r="W9" s="5" t="n">
        <x:v>222978.53719226565</x:v>
      </x:c>
      <x:c r="X9" s="5" t="n">
        <x:v>194036.46891625767</x:v>
      </x:c>
      <x:c r="Y9" s="13"/>
      <x:c r="Z9" s="13"/>
      <x:c r="AA9" s="13"/>
    </x:row>
    <x:row r="10" ht="20" customHeight="1">
      <x:c r="A10" s="2" t="n">
        <x:v>7</x:v>
      </x:c>
      <x:c r="B10" s="5" t="n">
        <x:v>1485646.3340394355</x:v>
      </x:c>
      <x:c r="C10" s="5" t="n">
        <x:v>286986.58</x:v>
      </x:c>
      <x:c r="D10" s="5" t="n">
        <x:v>155381.09071764268</x:v>
      </x:c>
      <x:c r="E10" s="5" t="n">
        <x:v>22247.208976839393</x:v>
      </x:c>
      <x:c r="F10" s="5" t="n">
        <x:v>2499.0689168092267</x:v>
      </x:c>
      <x:c r="G10" s="5" t="n">
        <x:v>415.35618416720257</x:v>
      </x:c>
      <x:c r="H10" s="5" t="n">
        <x:v>1614752.7544049835</x:v>
      </x:c>
      <x:c r="I10" s="5" t="n">
        <x:v>1478.3307134057368</x:v>
      </x:c>
      <x:c r="J10" s="5" t="n">
        <x:v>2.170807522728861</x:v>
      </x:c>
      <x:c r="K10" s="5" t="n">
        <x:v>190</x:v>
      </x:c>
      <x:c r="L10" s="5" t="n">
        <x:v>5739.7316</x:v>
      </x:c>
      <x:c r="M10" s="5" t="n">
        <x:v>4750</x:v>
      </x:c>
      <x:c r="N10" s="5" t="n">
        <x:v>1288.3307134057368</x:v>
      </x:c>
      <x:c r="O10" s="5" t="n">
        <x:v>1188517.0672315483</x:v>
      </x:c>
      <x:c r="P10" s="5" t="n">
        <x:v>1291802.2035239867</x:v>
      </x:c>
      <x:c r="Q10" s="5" t="n">
        <x:v>103285.13629243846</x:v>
      </x:c>
      <x:c r="R10" s="5" t="n">
        <x:v>7923.447114876989</x:v>
      </x:c>
      <x:c r="S10" s="5" t="n">
        <x:v>7500</x:v>
      </x:c>
      <x:c r="T10" s="5" t="n">
        <x:v>2083.712732642024</x:v>
      </x:c>
      <x:c r="U10" s="5" t="n">
        <x:v>11941.450015914643</x:v>
      </x:c>
      <x:c r="V10" s="5" t="n">
        <x:v>4441.450015914643</x:v>
      </x:c>
      <x:c r="W10" s="5" t="n">
        <x:v>194036.46891625767</x:v>
      </x:c>
      <x:c r="X10" s="5" t="n">
        <x:v>172656.63485906267</x:v>
      </x:c>
      <x:c r="Y10" s="13"/>
      <x:c r="Z10" s="13"/>
      <x:c r="AA10" s="13"/>
    </x:row>
    <x:row r="11" ht="20" customHeight="1">
      <x:c r="A11" s="2" t="n">
        <x:v>8</x:v>
      </x:c>
      <x:c r="B11" s="5" t="n">
        <x:v>1614752.7544049835</x:v>
      </x:c>
      <x:c r="C11" s="5" t="n">
        <x:v>270774.54</x:v>
      </x:c>
      <x:c r="D11" s="5" t="n">
        <x:v>179415.62480935917</x:v>
      </x:c>
      <x:c r="E11" s="5" t="n">
        <x:v>24180.54765126968</x:v>
      </x:c>
      <x:c r="F11" s="5" t="n">
        <x:v>2716.2443203379935</x:v>
      </x:c>
      <x:c r="G11" s="5" t="n">
        <x:v>498.07676794017925</x:v>
      </x:c>
      <x:c r="H11" s="5" t="n">
        <x:v>1703395.4252752862</x:v>
      </x:c>
      <x:c r="I11" s="5" t="n">
        <x:v>1659.8439504056953</x:v>
      </x:c>
      <x:c r="J11" s="5" t="n">
        <x:v>2.486763000041583</x:v>
      </x:c>
      <x:c r="K11" s="5" t="n">
        <x:v>184</x:v>
      </x:c>
      <x:c r="L11" s="5" t="n">
        <x:v>5415.4908</x:v>
      </x:c>
      <x:c r="M11" s="5" t="n">
        <x:v>4600</x:v>
      </x:c>
      <x:c r="N11" s="5" t="n">
        <x:v>1475.8439504056953</x:v>
      </x:c>
      <x:c r="O11" s="5" t="n">
        <x:v>1291802.2035239867</x:v>
      </x:c>
      <x:c r="P11" s="5" t="n">
        <x:v>1362716.340220229</x:v>
      </x:c>
      <x:c r="Q11" s="5" t="n">
        <x:v>70914.13669624226</x:v>
      </x:c>
      <x:c r="R11" s="5" t="n">
        <x:v>8612.014690159911</x:v>
      </x:c>
      <x:c r="S11" s="5" t="n">
        <x:v>7500</x:v>
      </x:c>
      <x:c r="T11" s="5" t="n">
        <x:v>2218.1675523978142</x:v>
      </x:c>
      <x:c r="U11" s="5" t="n">
        <x:v>12690.01225830626</x:v>
      </x:c>
      <x:c r="V11" s="5" t="n">
        <x:v>5190.012258306261</x:v>
      </x:c>
      <x:c r="W11" s="5" t="n">
        <x:v>172656.63485906267</x:v>
      </x:c>
      <x:c r="X11" s="5" t="n">
        <x:v>160118.11294330837</x:v>
      </x:c>
      <x:c r="Y11" s="13"/>
      <x:c r="Z11" s="13"/>
      <x:c r="AA11" s="13"/>
    </x:row>
    <x:row r="12" ht="20" customHeight="1">
      <x:c r="A12" s="2" t="n">
        <x:v>9</x:v>
      </x:c>
      <x:c r="B12" s="5" t="n">
        <x:v>1703395.4252752862</x:v>
      </x:c>
      <x:c r="C12" s="5" t="n">
        <x:v>262751.32</x:v>
      </x:c>
      <x:c r="D12" s="5" t="n">
        <x:v>202528.59298223662</x:v>
      </x:c>
      <x:c r="E12" s="5" t="n">
        <x:v>25507.951070194333</x:v>
      </x:c>
      <x:c r="F12" s="5" t="n">
        <x:v>2865.353928997415</x:v>
      </x:c>
      <x:c r="G12" s="5" t="n">
        <x:v>556.4924302833896</x:v>
      </x:c>
      <x:c r="H12" s="5" t="n">
        <x:v>1760752.7983640523</x:v>
      </x:c>
      <x:c r="I12" s="5" t="n">
        <x:v>1832.0518562658106</x:v>
      </x:c>
      <x:c r="J12" s="5" t="n">
        <x:v>2.7920941398847092</x:v>
      </x:c>
      <x:c r="K12" s="5" t="n">
        <x:v>175</x:v>
      </x:c>
      <x:c r="L12" s="5" t="n">
        <x:v>5255.0264</x:v>
      </x:c>
      <x:c r="M12" s="5" t="n">
        <x:v>4375</x:v>
      </x:c>
      <x:c r="N12" s="5" t="n">
        <x:v>1657.0518562658106</x:v>
      </x:c>
      <x:c r="O12" s="5" t="n">
        <x:v>1362716.340220229</x:v>
      </x:c>
      <x:c r="P12" s="5" t="n">
        <x:v>1408602.2386912417</x:v>
      </x:c>
      <x:c r="Q12" s="5" t="n">
        <x:v>45885.898471012784</x:v>
      </x:c>
      <x:c r="R12" s="5" t="n">
        <x:v>9084.775601468193</x:v>
      </x:c>
      <x:c r="S12" s="5" t="n">
        <x:v>7500</x:v>
      </x:c>
      <x:c r="T12" s="5" t="n">
        <x:v>2308.8614987140254</x:v>
      </x:c>
      <x:c r="U12" s="5" t="n">
        <x:v>13337.288513746304</x:v>
      </x:c>
      <x:c r="V12" s="5" t="n">
        <x:v>5837.288513746304</x:v>
      </x:c>
      <x:c r="W12" s="5" t="n">
        <x:v>160118.11294330837</x:v>
      </x:c>
      <x:c r="X12" s="5" t="n">
        <x:v>154483.92683930148</x:v>
      </x:c>
      <x:c r="Y12" s="13"/>
      <x:c r="Z12" s="13"/>
      <x:c r="AA12" s="13"/>
    </x:row>
    <x:row r="13" ht="20" customHeight="1">
      <x:c r="A13" s="2" t="n">
        <x:v>10</x:v>
      </x:c>
      <x:c r="B13" s="5" t="n">
        <x:v>1760752.7983640523</x:v>
      </x:c>
      <x:c r="C13" s="5" t="n">
        <x:v>287854.29</x:v>
      </x:c>
      <x:c r="D13" s="5" t="n">
        <x:v>225334.6076166319</x:v>
      </x:c>
      <x:c r="E13" s="5" t="n">
        <x:v>26366.86441735603</x:v>
      </x:c>
      <x:c r="F13" s="5" t="n">
        <x:v>2961.8372069833854</x:v>
      </x:c>
      <x:c r="G13" s="5" t="n">
        <x:v>624.7672292023067</x:v>
      </x:c>
      <x:c r="H13" s="5" t="n">
        <x:v>1820310.643540437</x:v>
      </x:c>
      <x:c r="I13" s="5" t="n">
        <x:v>2029.9700838795604</x:v>
      </x:c>
      <x:c r="J13" s="5" t="n">
        <x:v>3.081772386250173</x:v>
      </x:c>
      <x:c r="K13" s="5" t="n">
        <x:v>201</x:v>
      </x:c>
      <x:c r="L13" s="5" t="n">
        <x:v>5757.0858</x:v>
      </x:c>
      <x:c r="M13" s="5" t="n">
        <x:v>5025</x:v>
      </x:c>
      <x:c r="N13" s="5" t="n">
        <x:v>1828.9700838795604</x:v>
      </x:c>
      <x:c r="O13" s="5" t="n">
        <x:v>1408602.2386912417</x:v>
      </x:c>
      <x:c r="P13" s="5" t="n">
        <x:v>1456248.5148323495</x:v>
      </x:c>
      <x:c r="Q13" s="5" t="n">
        <x:v>47646.27614110778</x:v>
      </x:c>
      <x:c r="R13" s="5" t="n">
        <x:v>9390.681591274946</x:v>
      </x:c>
      <x:c r="S13" s="5" t="n">
        <x:v>7500</x:v>
      </x:c>
      <x:c r="T13" s="5" t="n">
        <x:v>2337.0699777810787</x:v>
      </x:c>
      <x:c r="U13" s="5" t="n">
        <x:v>13542.22856442045</x:v>
      </x:c>
      <x:c r="V13" s="5" t="n">
        <x:v>6042.2285644204485</x:v>
      </x:c>
      <x:c r="W13" s="5" t="n">
        <x:v>154483.92683930148</x:v>
      </x:c>
      <x:c r="X13" s="5" t="n">
        <x:v>148614.586368445</x:v>
      </x:c>
      <x:c r="Y13" s="13"/>
      <x:c r="Z13" s="13"/>
      <x:c r="AA13" s="13"/>
    </x:row>
    <x:row r="14" ht="20" customHeight="1">
      <x:c r="A14" s="2" t="n">
        <x:v>11</x:v>
      </x:c>
      <x:c r="B14" s="5" t="n">
        <x:v>1820310.643540437</x:v>
      </x:c>
      <x:c r="C14" s="5" t="n">
        <x:v>292449.79</x:v>
      </x:c>
      <x:c r="D14" s="5" t="n">
        <x:v>250365.4316711447</x:v>
      </x:c>
      <x:c r="E14" s="5" t="n">
        <x:v>27258.729323215994</x:v>
      </x:c>
      <x:c r="F14" s="5" t="n">
        <x:v>3062.0219927040553</x:v>
      </x:c>
      <x:c r="G14" s="5" t="n">
        <x:v>679.0610800844984</x:v>
      </x:c>
      <x:c r="H14" s="5" t="n">
        <x:v>1859332.9798765883</x:v>
      </x:c>
      <x:c r="I14" s="5" t="n">
        <x:v>2220.5553848206782</x:v>
      </x:c>
      <x:c r="J14" s="5" t="n">
        <x:v>3.4146990588820505</x:v>
      </x:c>
      <x:c r="K14" s="5" t="n">
        <x:v>194</x:v>
      </x:c>
      <x:c r="L14" s="5" t="n">
        <x:v>5848.9958</x:v>
      </x:c>
      <x:c r="M14" s="5" t="n">
        <x:v>4850</x:v>
      </x:c>
      <x:c r="N14" s="5" t="n">
        <x:v>2026.5553848206782</x:v>
      </x:c>
      <x:c r="O14" s="5" t="n">
        <x:v>1456248.5148323495</x:v>
      </x:c>
      <x:c r="P14" s="5" t="n">
        <x:v>1487466.3839012706</x:v>
      </x:c>
      <x:c r="Q14" s="5" t="n">
        <x:v>31217.869068920983</x:v>
      </x:c>
      <x:c r="R14" s="5" t="n">
        <x:v>9708.323432215664</x:v>
      </x:c>
      <x:c r="S14" s="5" t="n">
        <x:v>7500</x:v>
      </x:c>
      <x:c r="T14" s="5" t="n">
        <x:v>2382.960912619557</x:v>
      </x:c>
      <x:c r="U14" s="5" t="n">
        <x:v>14139.885393560095</x:v>
      </x:c>
      <x:c r="V14" s="5" t="n">
        <x:v>6639.885393560095</x:v>
      </x:c>
      <x:c r="W14" s="5" t="n">
        <x:v>148614.586368445</x:v>
      </x:c>
      <x:c r="X14" s="5" t="n">
        <x:v>147450.00449477482</x:v>
      </x:c>
      <x:c r="Y14" s="13"/>
      <x:c r="Z14" s="13"/>
      <x:c r="AA14" s="13"/>
    </x:row>
    <x:row r="15" ht="20" customHeight="1">
      <x:c r="A15" s="2" t="n">
        <x:v>12</x:v>
      </x:c>
      <x:c r="B15" s="5" t="n">
        <x:v>1859332.9798765883</x:v>
      </x:c>
      <x:c r="C15" s="5" t="n">
        <x:v>293235.41</x:v>
      </x:c>
      <x:c r="D15" s="5" t="n">
        <x:v>276080.7712401061</x:v>
      </x:c>
      <x:c r="E15" s="5" t="n">
        <x:v>27843.079751271387</x:v>
      </x:c>
      <x:c r="F15" s="5" t="n">
        <x:v>3127.6631251624094</x:v>
      </x:c>
      <x:c r="G15" s="5" t="n">
        <x:v>716.3384822493538</x:v>
      </x:c>
      <x:c r="H15" s="5" t="n">
        <x:v>1873359.9555113197</x:v>
      </x:c>
      <x:c r="I15" s="5" t="n">
        <x:v>2218.6200941171564</x:v>
      </x:c>
      <x:c r="J15" s="5" t="n">
        <x:v>3.735290703521775</x:v>
      </x:c>
      <x:c r="K15" s="5" t="n">
        <x:v>188</x:v>
      </x:c>
      <x:c r="L15" s="5" t="n">
        <x:v>5864.7082</x:v>
      </x:c>
      <x:c r="M15" s="5" t="n">
        <x:v>4700</x:v>
      </x:c>
      <x:c r="N15" s="5" t="n">
        <x:v>2216.8200941171567</x:v>
      </x:c>
      <x:c r="O15" s="5" t="n">
        <x:v>1487466.3839012706</x:v>
      </x:c>
      <x:c r="P15" s="5" t="n">
        <x:v>1498687.964409056</x:v>
      </x:c>
      <x:c r="Q15" s="5" t="n">
        <x:v>11221.580507785196</x:v>
      </x:c>
      <x:c r="R15" s="5" t="n">
        <x:v>9916.442559341804</x:v>
      </x:c>
      <x:c r="S15" s="5" t="n">
        <x:v>7500</x:v>
      </x:c>
      <x:c r="T15" s="5" t="n">
        <x:v>2411.324642913056</x:v>
      </x:c>
      <x:c r="U15" s="5" t="n">
        <x:v>14463.20065489937</x:v>
      </x:c>
      <x:c r="V15" s="5" t="n">
        <x:v>6963.200654899371</x:v>
      </x:c>
      <x:c r="W15" s="5" t="n">
        <x:v>147450.00449477482</x:v>
      </x:c>
      <x:c r="X15" s="5" t="n">
        <x:v>151607.8100227279</x:v>
      </x:c>
      <x:c r="Y15" s="13"/>
      <x:c r="Z15" s="13"/>
      <x:c r="AA15" s="13"/>
    </x:row>
    <x:row r="16" ht="20" customHeight="1">
      <x:c r="A16" s="2" t="n">
        <x:v>13</x:v>
      </x:c>
      <x:c r="B16" s="5" t="n">
        <x:v>1873359.9555113197</x:v>
      </x:c>
      <x:c r="C16" s="5" t="n">
        <x:v>276300.9</x:v>
      </x:c>
      <x:c r="D16" s="5" t="n">
        <x:v>276261.78344188887</x:v>
      </x:c>
      <x:c r="E16" s="5" t="n">
        <x:v>28053.13045520334</x:v>
      </x:c>
      <x:c r="F16" s="5" t="n">
        <x:v>3151.258497763832</x:v>
      </x:c>
      <x:c r="G16" s="5" t="n">
        <x:v>740.4593017458463</x:v>
      </x:c>
      <x:c r="H16" s="5" t="n">
        <x:v>1870247.813571667</x:v>
      </x:c>
      <x:c r="I16" s="5" t="n">
        <x:v>2231.328058848479</x:v>
      </x:c>
      <x:c r="J16" s="5" t="n">
        <x:v>3.7320352686774596</x:v>
      </x:c>
      <x:c r="K16" s="5" t="n">
        <x:v>185</x:v>
      </x:c>
      <x:c r="L16" s="5" t="n">
        <x:v>5526.018</x:v>
      </x:c>
      <x:c r="M16" s="5" t="n">
        <x:v>4625</x:v>
      </x:c>
      <x:c r="N16" s="5" t="n">
        <x:v>2214.888058848479</x:v>
      </x:c>
      <x:c r="O16" s="5" t="n">
        <x:v>1498687.964409056</x:v>
      </x:c>
      <x:c r="P16" s="5" t="n">
        <x:v>1496198.2508573337</x:v>
      </x:c>
      <x:c r="Q16" s="5" t="n">
        <x:v>-2489.7135517221677</x:v>
      </x:c>
      <x:c r="R16" s="5" t="n">
        <x:v>9991.253096060373</x:v>
      </x:c>
      <x:c r="S16" s="5" t="n">
        <x:v>7500</x:v>
      </x:c>
      <x:c r="T16" s="5" t="n">
        <x:v>2410.7991960179857</x:v>
      </x:c>
      <x:c r="U16" s="5" t="n">
        <x:v>14337.208104276502</x:v>
      </x:c>
      <x:c r="V16" s="5" t="n">
        <x:v>6837.208104276502</x:v>
      </x:c>
      <x:c r="W16" s="5" t="n">
        <x:v>151607.8100227279</x:v>
      </x:c>
      <x:c r="X16" s="5" t="n">
        <x:v>159067.44651493494</x:v>
      </x:c>
      <x:c r="Y16" s="13"/>
      <x:c r="Z16" s="13"/>
      <x:c r="AA16" s="13"/>
    </x:row>
    <x:row r="17" ht="20" customHeight="1">
      <x:c r="A17" s="2" t="n">
        <x:v>14</x:v>
      </x:c>
      <x:c r="B17" s="5" t="n">
        <x:v>1870247.813571667</x:v>
      </x:c>
      <x:c r="C17" s="5" t="n">
        <x:v>267117.38</x:v>
      </x:c>
      <x:c r="D17" s="5" t="n">
        <x:v>277625.08472790587</x:v>
      </x:c>
      <x:c r="E17" s="5" t="n">
        <x:v>28006.52685210435</x:v>
      </x:c>
      <x:c r="F17" s="5" t="n">
        <x:v>3146.023431376977</x:v>
      </x:c>
      <x:c r="G17" s="5" t="n">
        <x:v>765.5054981760138</x:v>
      </x:c>
      <x:c r="H17" s="5" t="n">
        <x:v>1856594.0854123842</x:v>
      </x:c>
      <x:c r="I17" s="5" t="n">
        <x:v>2236.054646971568</x:v>
      </x:c>
      <x:c r="J17" s="5" t="n">
        <x:v>3.7534118769107305</x:v>
      </x:c>
      <x:c r="K17" s="5" t="n">
        <x:v>179</x:v>
      </x:c>
      <x:c r="L17" s="5" t="n">
        <x:v>5342.3476</x:v>
      </x:c>
      <x:c r="M17" s="5" t="n">
        <x:v>4475</x:v>
      </x:c>
      <x:c r="N17" s="5" t="n">
        <x:v>2227.574646971568</x:v>
      </x:c>
      <x:c r="O17" s="5" t="n">
        <x:v>1496198.2508573337</x:v>
      </x:c>
      <x:c r="P17" s="5" t="n">
        <x:v>1485275.2683299074</x:v>
      </x:c>
      <x:c r="Q17" s="5" t="n">
        <x:v>-10922.98252742627</x:v>
      </x:c>
      <x:c r="R17" s="5" t="n">
        <x:v>9974.655005715558</x:v>
      </x:c>
      <x:c r="S17" s="5" t="n">
        <x:v>7500</x:v>
      </x:c>
      <x:c r="T17" s="5" t="n">
        <x:v>2380.517933200963</x:v>
      </x:c>
      <x:c r="U17" s="5" t="n">
        <x:v>14291.126866216262</x:v>
      </x:c>
      <x:c r="V17" s="5" t="n">
        <x:v>6791.126866216262</x:v>
      </x:c>
      <x:c r="W17" s="5" t="n">
        <x:v>159067.44651493494</x:v>
      </x:c>
      <x:c r="X17" s="5" t="n">
        <x:v>168589.31901300777</x:v>
      </x:c>
      <x:c r="Y17" s="13"/>
      <x:c r="Z17" s="13"/>
      <x:c r="AA17" s="13"/>
    </x:row>
    <x:row r="18" ht="20" customHeight="1">
      <x:c r="A18" s="2" t="n">
        <x:v>15</x:v>
      </x:c>
      <x:c r="B18" s="5" t="n">
        <x:v>1856594.0854123842</x:v>
      </x:c>
      <x:c r="C18" s="5" t="n">
        <x:v>258044.83</x:v>
      </x:c>
      <x:c r="D18" s="5" t="n">
        <x:v>278153.93601752364</x:v>
      </x:c>
      <x:c r="E18" s="5" t="n">
        <x:v>27802.065442472212</x:v>
      </x:c>
      <x:c r="F18" s="5" t="n">
        <x:v>3123.055914236709</x:v>
      </x:c>
      <x:c r="G18" s="5" t="n">
        <x:v>781.9157812906024</x:v>
      </x:c>
      <x:c r="H18" s="5" t="n">
        <x:v>1833361.9234806239</x:v>
      </x:c>
      <x:c r="I18" s="5" t="n">
        <x:v>2218.4132842996464</x:v>
      </x:c>
      <x:c r="J18" s="5" t="n">
        <x:v>3.7613626719218525</x:v>
      </x:c>
      <x:c r="K18" s="5" t="n">
        <x:v>188</x:v>
      </x:c>
      <x:c r="L18" s="5" t="n">
        <x:v>5160.8966</x:v>
      </x:c>
      <x:c r="M18" s="5" t="n">
        <x:v>4700</x:v>
      </x:c>
      <x:c r="N18" s="5" t="n">
        <x:v>2232.2932842996465</x:v>
      </x:c>
      <x:c r="O18" s="5" t="n">
        <x:v>1485275.2683299074</x:v>
      </x:c>
      <x:c r="P18" s="5" t="n">
        <x:v>1466689.538784499</x:v>
      </x:c>
      <x:c r="Q18" s="5" t="n">
        <x:v>-18585.729545408296</x:v>
      </x:c>
      <x:c r="R18" s="5" t="n">
        <x:v>9901.835122199382</x:v>
      </x:c>
      <x:c r="S18" s="5" t="n">
        <x:v>7500</x:v>
      </x:c>
      <x:c r="T18" s="5" t="n">
        <x:v>2341.140132946107</x:v>
      </x:c>
      <x:c r="U18" s="5" t="n">
        <x:v>13787.693503027076</x:v>
      </x:c>
      <x:c r="V18" s="5" t="n">
        <x:v>6287.693503027076</x:v>
      </x:c>
      <x:c r="W18" s="5" t="n">
        <x:v>168589.31901300777</x:v>
      </x:c>
      <x:c r="X18" s="5" t="n">
        <x:v>179523.44490238692</x:v>
      </x:c>
      <x:c r="Y18" s="13"/>
      <x:c r="Z18" s="13"/>
      <x:c r="AA18" s="13"/>
    </x:row>
    <x:row r="19" ht="20" customHeight="1">
      <x:c r="A19" s="2" t="n">
        <x:v>16</x:v>
      </x:c>
      <x:c r="B19" s="5" t="n">
        <x:v>1833361.9234806239</x:v>
      </x:c>
      <x:c r="C19" s="5" t="n">
        <x:v>294955.61</x:v>
      </x:c>
      <x:c r="D19" s="5" t="n">
        <x:v>274325.31784826773</x:v>
      </x:c>
      <x:c r="E19" s="5" t="n">
        <x:v>27454.16921061847</x:v>
      </x:c>
      <x:c r="F19" s="5" t="n">
        <x:v>3083.9761060591595</x:v>
      </x:c>
      <x:c r="G19" s="5" t="n">
        <x:v>787.814624440958</x:v>
      </x:c>
      <x:c r="H19" s="5" t="n">
        <x:v>1850908.239526297</x:v>
      </x:c>
      <x:c r="I19" s="5" t="n">
        <x:v>2222.4815969145634</x:v>
      </x:c>
      <x:c r="J19" s="5" t="n">
        <x:v>3.731687385083102</x:v>
      </x:c>
      <x:c r="K19" s="5" t="n">
        <x:v>194</x:v>
      </x:c>
      <x:c r="L19" s="5" t="n">
        <x:v>5899.1122</x:v>
      </x:c>
      <x:c r="M19" s="5" t="n">
        <x:v>4850</x:v>
      </x:c>
      <x:c r="N19" s="5" t="n">
        <x:v>2214.681596914563</x:v>
      </x:c>
      <x:c r="O19" s="5" t="n">
        <x:v>1466689.538784499</x:v>
      </x:c>
      <x:c r="P19" s="5" t="n">
        <x:v>1480726.5916210376</x:v>
      </x:c>
      <x:c r="Q19" s="5" t="n">
        <x:v>14037.052836538476</x:v>
      </x:c>
      <x:c r="R19" s="5" t="n">
        <x:v>9777.930258563327</x:v>
      </x:c>
      <x:c r="S19" s="5" t="n">
        <x:v>7500</x:v>
      </x:c>
      <x:c r="T19" s="5" t="n">
        <x:v>2296.1614816182014</x:v>
      </x:c>
      <x:c r="U19" s="5" t="n">
        <x:v>14214.508073522378</x:v>
      </x:c>
      <x:c r="V19" s="5" t="n">
        <x:v>6714.508073522378</x:v>
      </x:c>
      <x:c r="W19" s="5" t="n">
        <x:v>179523.44490238692</x:v>
      </x:c>
      <x:c r="X19" s="5" t="n">
        <x:v>182728.68976677468</x:v>
      </x:c>
      <x:c r="Y19" s="13"/>
      <x:c r="Z19" s="13"/>
      <x:c r="AA19" s="13"/>
    </x:row>
    <x:row r="20" ht="20" customHeight="1">
      <x:c r="A20" s="2" t="n">
        <x:v>17</x:v>
      </x:c>
      <x:c r="B20" s="5" t="n">
        <x:v>1850908.239526297</x:v>
      </x:c>
      <x:c r="C20" s="5" t="n">
        <x:v>280193.68</x:v>
      </x:c>
      <x:c r="D20" s="5" t="n">
        <x:v>274929.35010388086</x:v>
      </x:c>
      <x:c r="E20" s="5" t="n">
        <x:v>27716.9212202306</x:v>
      </x:c>
      <x:c r="F20" s="5" t="n">
        <x:v>3113.4915109234025</x:v>
      </x:c>
      <x:c r="G20" s="5" t="n">
        <x:v>786.5058578442442</x:v>
      </x:c>
      <x:c r="H20" s="5" t="n">
        <x:v>1853059.0779114927</x:v>
      </x:c>
      <x:c r="I20" s="5" t="n">
        <x:v>2225.343066047713</x:v>
      </x:c>
      <x:c r="J20" s="5" t="n">
        <x:v>3.7385308668505006</x:v>
      </x:c>
      <x:c r="K20" s="5" t="n">
        <x:v>183</x:v>
      </x:c>
      <x:c r="L20" s="5" t="n">
        <x:v>5603.8736</x:v>
      </x:c>
      <x:c r="M20" s="5" t="n">
        <x:v>4575</x:v>
      </x:c>
      <x:c r="N20" s="5" t="n">
        <x:v>2218.743066047713</x:v>
      </x:c>
      <x:c r="O20" s="5" t="n">
        <x:v>1480726.5916210376</x:v>
      </x:c>
      <x:c r="P20" s="5" t="n">
        <x:v>1482447.262329194</x:v>
      </x:c>
      <x:c r="Q20" s="5" t="n">
        <x:v>1720.6707081565767</x:v>
      </x:c>
      <x:c r="R20" s="5" t="n">
        <x:v>9871.510610806918</x:v>
      </x:c>
      <x:c r="S20" s="5" t="n">
        <x:v>7500</x:v>
      </x:c>
      <x:c r="T20" s="5" t="n">
        <x:v>2326.9856530791585</x:v>
      </x:c>
      <x:c r="U20" s="5" t="n">
        <x:v>14328.555490296814</x:v>
      </x:c>
      <x:c r="V20" s="5" t="n">
        <x:v>6828.555490296814</x:v>
      </x:c>
      <x:c r="W20" s="5" t="n">
        <x:v>182728.68976677468</x:v>
      </x:c>
      <x:c r="X20" s="5" t="n">
        <x:v>189127.07758003235</x:v>
      </x:c>
      <x:c r="Y20" s="13"/>
      <x:c r="Z20" s="13"/>
      <x:c r="AA20" s="13"/>
    </x:row>
    <x:row r="21" ht="20" customHeight="1">
      <x:c r="A21" s="2" t="n">
        <x:v>18</x:v>
      </x:c>
      <x:c r="B21" s="5" t="n">
        <x:v>1853059.0779114927</x:v>
      </x:c>
      <x:c r="C21" s="5" t="n">
        <x:v>269582.21</x:v>
      </x:c>
      <x:c r="D21" s="5" t="n">
        <x:v>277500.21104400395</x:v>
      </x:c>
      <x:c r="E21" s="5" t="n">
        <x:v>27749.12952575696</x:v>
      </x:c>
      <x:c r="F21" s="5" t="n">
        <x:v>3117.109527695206</x:v>
      </x:c>
      <x:c r="G21" s="5" t="n">
        <x:v>780.7639785591773</x:v>
      </x:c>
      <x:c r="H21" s="5" t="n">
        <x:v>1842023.9673397935</x:v>
      </x:c>
      <x:c r="I21" s="5" t="n">
        <x:v>2226.29972178187</x:v>
      </x:c>
      <x:c r="J21" s="5" t="n">
        <x:v>3.743344265842722</x:v>
      </x:c>
      <x:c r="K21" s="5" t="n">
        <x:v>186</x:v>
      </x:c>
      <x:c r="L21" s="5" t="n">
        <x:v>5391.6442</x:v>
      </x:c>
      <x:c r="M21" s="5" t="n">
        <x:v>4650</x:v>
      </x:c>
      <x:c r="N21" s="5" t="n">
        <x:v>2221.5997217818704</x:v>
      </x:c>
      <x:c r="O21" s="5" t="n">
        <x:v>1482447.262329194</x:v>
      </x:c>
      <x:c r="P21" s="5" t="n">
        <x:v>1473619.1738718348</x:v>
      </x:c>
      <x:c r="Q21" s="5" t="n">
        <x:v>-8828.088457359316</x:v>
      </x:c>
      <x:c r="R21" s="5" t="n">
        <x:v>9882.981748861293</x:v>
      </x:c>
      <x:c r="S21" s="5" t="n">
        <x:v>7500</x:v>
      </x:c>
      <x:c r="T21" s="5" t="n">
        <x:v>2336.3455491360287</x:v>
      </x:c>
      <x:c r="U21" s="5" t="n">
        <x:v>14049.846705977769</x:v>
      </x:c>
      <x:c r="V21" s="5" t="n">
        <x:v>6549.846705977769</x:v>
      </x:c>
      <x:c r="W21" s="5" t="n">
        <x:v>189127.07758003235</x:v>
      </x:c>
      <x:c r="X21" s="5" t="n">
        <x:v>197883.94640034996</x:v>
      </x:c>
      <x:c r="Y21" s="13"/>
      <x:c r="Z21" s="13"/>
      <x:c r="AA21" s="13"/>
    </x:row>
    <x:row r="22" ht="20" customHeight="1">
      <x:c r="A22" s="2" t="n">
        <x:v>19</x:v>
      </x:c>
      <x:c r="B22" s="5" t="n">
        <x:v>1842023.9673397935</x:v>
      </x:c>
      <x:c r="C22" s="5" t="n">
        <x:v>286444.96</x:v>
      </x:c>
      <x:c r="D22" s="5" t="n">
        <x:v>275312.69787467824</x:v>
      </x:c>
      <x:c r="E22" s="5" t="n">
        <x:v>27583.881306617477</x:v>
      </x:c>
      <x:c r="F22" s="5" t="n">
        <x:v>3098.546898628365</x:v>
      </x:c>
      <x:c r="G22" s="5" t="n">
        <x:v>770.9940265147899</x:v>
      </x:c>
      <x:c r="H22" s="5" t="n">
        <x:v>1850057.682566487</x:v>
      </x:c>
      <x:c r="I22" s="5" t="n">
        <x:v>2231.354768284709</x:v>
      </x:c>
      <x:c r="J22" s="5" t="n">
        <x:v>3.7449534971614704</x:v>
      </x:c>
      <x:c r="K22" s="5" t="n">
        <x:v>195</x:v>
      </x:c>
      <x:c r="L22" s="5" t="n">
        <x:v>5728.8992</x:v>
      </x:c>
      <x:c r="M22" s="5" t="n">
        <x:v>4875</x:v>
      </x:c>
      <x:c r="N22" s="5" t="n">
        <x:v>2222.5547682847086</x:v>
      </x:c>
      <x:c r="O22" s="5" t="n">
        <x:v>1473619.1738718348</x:v>
      </x:c>
      <x:c r="P22" s="5" t="n">
        <x:v>1480046.1460531894</x:v>
      </x:c>
      <x:c r="Q22" s="5" t="n">
        <x:v>6426.9721813547285</x:v>
      </x:c>
      <x:c r="R22" s="5" t="n">
        <x:v>9824.127825812231</x:v>
      </x:c>
      <x:c r="S22" s="5" t="n">
        <x:v>7500</x:v>
      </x:c>
      <x:c r="T22" s="5" t="n">
        <x:v>2327.552872113575</x:v>
      </x:c>
      <x:c r="U22" s="5" t="n">
        <x:v>14063.545040406962</x:v>
      </x:c>
      <x:c r="V22" s="5" t="n">
        <x:v>6563.545040406961</x:v>
      </x:c>
      <x:c r="W22" s="5" t="n">
        <x:v>197883.94640034996</x:v>
      </x:c>
      <x:c r="X22" s="5" t="n">
        <x:v>202840.74839541822</x:v>
      </x:c>
      <x:c r="Y22" s="13"/>
      <x:c r="Z22" s="13"/>
      <x:c r="AA22" s="13"/>
    </x:row>
    <x:row r="23" ht="20" customHeight="1">
      <x:c r="A23" s="2" t="n">
        <x:v>20</x:v>
      </x:c>
      <x:c r="B23" s="5" t="n">
        <x:v>1850057.682566487</x:v>
      </x:c>
      <x:c r="C23" s="5" t="n">
        <x:v>255271.5</x:v>
      </x:c>
      <x:c r="D23" s="5" t="n">
        <x:v>275158.64081716194</x:v>
      </x:c>
      <x:c r="E23" s="5" t="n">
        <x:v>27704.184327204286</x:v>
      </x:c>
      <x:c r="F23" s="5" t="n">
        <x:v>3112.0607528677774</x:v>
      </x:c>
      <x:c r="G23" s="5" t="n">
        <x:v>778.3728777308506</x:v>
      </x:c>
      <x:c r="H23" s="5" t="n">
        <x:v>1827058.4809964572</x:v>
      </x:c>
      <x:c r="I23" s="5" t="n">
        <x:v>2225.2813114787186</x:v>
      </x:c>
      <x:c r="J23" s="5" t="n">
        <x:v>3.753456805989972</x:v>
      </x:c>
      <x:c r="K23" s="5" t="n">
        <x:v>178</x:v>
      </x:c>
      <x:c r="L23" s="5" t="n">
        <x:v>5105.43</x:v>
      </x:c>
      <x:c r="M23" s="5" t="n">
        <x:v>4450</x:v>
      </x:c>
      <x:c r="N23" s="5" t="n">
        <x:v>2227.601311478719</x:v>
      </x:c>
      <x:c r="O23" s="5" t="n">
        <x:v>1480046.1460531894</x:v>
      </x:c>
      <x:c r="P23" s="5" t="n">
        <x:v>1461646.7847971658</x:v>
      </x:c>
      <x:c r="Q23" s="5" t="n">
        <x:v>-18399.361256023778</x:v>
      </x:c>
      <x:c r="R23" s="5" t="n">
        <x:v>9866.974307021263</x:v>
      </x:c>
      <x:c r="S23" s="5" t="n">
        <x:v>7500</x:v>
      </x:c>
      <x:c r="T23" s="5" t="n">
        <x:v>2333.687875136927</x:v>
      </x:c>
      <x:c r="U23" s="5" t="n">
        <x:v>13931.350833567378</x:v>
      </x:c>
      <x:c r="V23" s="5" t="n">
        <x:v>6431.350833567378</x:v>
      </x:c>
      <x:c r="W23" s="5" t="n">
        <x:v>202840.74839541822</x:v>
      </x:c>
      <x:c r="X23" s="5" t="n">
        <x:v>213871.93954299155</x:v>
      </x:c>
      <x:c r="Y23" s="13"/>
      <x:c r="Z23" s="13"/>
      <x:c r="AA23" s="13"/>
    </x:row>
    <x:row r="24" ht="20" customHeight="1">
      <x:c r="A24" s="2" t="n">
        <x:v>21</x:v>
      </x:c>
      <x:c r="B24" s="5" t="n">
        <x:v>1827058.4809964572</x:v>
      </x:c>
      <x:c r="C24" s="5" t="n">
        <x:v>275809.2</x:v>
      </x:c>
      <x:c r="D24" s="5" t="n">
        <x:v>274070.3193266694</x:v>
      </x:c>
      <x:c r="E24" s="5" t="n">
        <x:v>27359.77662268844</x:v>
      </x:c>
      <x:c r="F24" s="5" t="n">
        <x:v>3073.3728172277965</x:v>
      </x:c>
      <x:c r="G24" s="5" t="n">
        <x:v>779.2773819238015</x:v>
      </x:c>
      <x:c r="H24" s="5" t="n">
        <x:v>1825723.98885256</x:v>
      </x:c>
      <x:c r="I24" s="5" t="n">
        <x:v>2233.0380710928644</x:v>
      </x:c>
      <x:c r="J24" s="5" t="n">
        <x:v>3.743240385854391</x:v>
      </x:c>
      <x:c r="K24" s="5" t="n">
        <x:v>183</x:v>
      </x:c>
      <x:c r="L24" s="5" t="n">
        <x:v>5516.184</x:v>
      </x:c>
      <x:c r="M24" s="5" t="n">
        <x:v>4575</x:v>
      </x:c>
      <x:c r="N24" s="5" t="n">
        <x:v>2221.5380710928644</x:v>
      </x:c>
      <x:c r="O24" s="5" t="n">
        <x:v>1461646.7847971658</x:v>
      </x:c>
      <x:c r="P24" s="5" t="n">
        <x:v>1460579.191082048</x:v>
      </x:c>
      <x:c r="Q24" s="5" t="n">
        <x:v>-1067.5937151177648</x:v>
      </x:c>
      <x:c r="R24" s="5" t="n">
        <x:v>9744.311898647771</x:v>
      </x:c>
      <x:c r="S24" s="5" t="n">
        <x:v>7500</x:v>
      </x:c>
      <x:c r="T24" s="5" t="n">
        <x:v>2294.095435303995</x:v>
      </x:c>
      <x:c r="U24" s="5" t="n">
        <x:v>14041.01521764381</x:v>
      </x:c>
      <x:c r="V24" s="5" t="n">
        <x:v>6541.01521764381</x:v>
      </x:c>
      <x:c r="W24" s="5" t="n">
        <x:v>213871.93954299155</x:v>
      </x:c>
      <x:c r="X24" s="5" t="n">
        <x:v>220679.8531894148</x:v>
      </x:c>
      <x:c r="Y24" s="13"/>
      <x:c r="Z24" s="13"/>
      <x:c r="AA24" s="13"/>
    </x:row>
    <x:row r="25" ht="20" customHeight="1">
      <x:c r="A25" s="2" t="n">
        <x:v>22</x:v>
      </x:c>
      <x:c r="B25" s="5" t="n">
        <x:v>1825723.98885256</x:v>
      </x:c>
      <x:c r="C25" s="5" t="n">
        <x:v>296544.49</x:v>
      </x:c>
      <x:c r="D25" s="5" t="n">
        <x:v>275259.35757974285</x:v>
      </x:c>
      <x:c r="E25" s="5" t="n">
        <x:v>27339.792912620305</x:v>
      </x:c>
      <x:c r="F25" s="5" t="n">
        <x:v>3071.1280112062504</x:v>
      </x:c>
      <x:c r="G25" s="5" t="n">
        <x:v>774.6367246570912</x:v>
      </x:c>
      <x:c r="H25" s="5" t="n">
        <x:v>1843937.9932616109</x:v>
      </x:c>
      <x:c r="I25" s="5" t="n">
        <x:v>2231.3017827315916</x:v>
      </x:c>
      <x:c r="J25" s="5" t="n">
        <x:v>3.7562883612727167</x:v>
      </x:c>
      <x:c r="K25" s="5" t="n">
        <x:v>199</x:v>
      </x:c>
      <x:c r="L25" s="5" t="n">
        <x:v>5930.8898</x:v>
      </x:c>
      <x:c r="M25" s="5" t="n">
        <x:v>4975</x:v>
      </x:c>
      <x:c r="N25" s="5" t="n">
        <x:v>2229.2817827315916</x:v>
      </x:c>
      <x:c r="O25" s="5" t="n">
        <x:v>1460579.191082048</x:v>
      </x:c>
      <x:c r="P25" s="5" t="n">
        <x:v>1475150.3946092888</x:v>
      </x:c>
      <x:c r="Q25" s="5" t="n">
        <x:v>14571.20352724074</x:v>
      </x:c>
      <x:c r="R25" s="5" t="n">
        <x:v>9737.194607213652</x:v>
      </x:c>
      <x:c r="S25" s="5" t="n">
        <x:v>7500</x:v>
      </x:c>
      <x:c r="T25" s="5" t="n">
        <x:v>2296.491286549159</x:v>
      </x:c>
      <x:c r="U25" s="5" t="n">
        <x:v>14032.715036125901</x:v>
      </x:c>
      <x:c r="V25" s="5" t="n">
        <x:v>6532.715036125902</x:v>
      </x:c>
      <x:c r="W25" s="5" t="n">
        <x:v>220679.8531894148</x:v>
      </x:c>
      <x:c r="X25" s="5" t="n">
        <x:v>223569.76734373052</x:v>
      </x:c>
      <x:c r="Y25" s="13"/>
      <x:c r="Z25" s="13"/>
      <x:c r="AA25" s="13"/>
    </x:row>
    <x:row r="26" ht="20" customHeight="1">
      <x:c r="A26" s="2" t="n">
        <x:v>23</x:v>
      </x:c>
      <x:c r="B26" s="5" t="n">
        <x:v>1843937.9932616109</x:v>
      </x:c>
      <x:c r="C26" s="5" t="n">
        <x:v>295029.97</x:v>
      </x:c>
      <x:c r="D26" s="5" t="n">
        <x:v>275799.89120074804</x:v>
      </x:c>
      <x:c r="E26" s="5" t="n">
        <x:v>27612.543400477985</x:v>
      </x:c>
      <x:c r="F26" s="5" t="n">
        <x:v>3101.7665630785004</x:v>
      </x:c>
      <x:c r="G26" s="5" t="n">
        <x:v>778.0151882169444</x:v>
      </x:c>
      <x:c r="H26" s="5" t="n">
        <x:v>1860066.3054977844</x:v>
      </x:c>
      <x:c r="I26" s="5" t="n">
        <x:v>2238.428415054855</x:v>
      </x:c>
      <x:c r="J26" s="5" t="n">
        <x:v>3.7533676767363935</x:v>
      </x:c>
      <x:c r="K26" s="5" t="n">
        <x:v>201</x:v>
      </x:c>
      <x:c r="L26" s="5" t="n">
        <x:v>5900.5994</x:v>
      </x:c>
      <x:c r="M26" s="5" t="n">
        <x:v>5025</x:v>
      </x:c>
      <x:c r="N26" s="5" t="n">
        <x:v>2227.548415054855</x:v>
      </x:c>
      <x:c r="O26" s="5" t="n">
        <x:v>1475150.3946092888</x:v>
      </x:c>
      <x:c r="P26" s="5" t="n">
        <x:v>1488053.0443982275</x:v>
      </x:c>
      <x:c r="Q26" s="5" t="n">
        <x:v>12902.64978893875</x:v>
      </x:c>
      <x:c r="R26" s="5" t="n">
        <x:v>9834.335964061926</x:v>
      </x:c>
      <x:c r="S26" s="5" t="n">
        <x:v>7500</x:v>
      </x:c>
      <x:c r="T26" s="5" t="n">
        <x:v>2323.751374861556</x:v>
      </x:c>
      <x:c r="U26" s="5" t="n">
        <x:v>14102.50704649965</x:v>
      </x:c>
      <x:c r="V26" s="5" t="n">
        <x:v>6602.50704649965</x:v>
      </x:c>
      <x:c r="W26" s="5" t="n">
        <x:v>223569.76734373052</x:v>
      </x:c>
      <x:c r="X26" s="5" t="n">
        <x:v>226946.61194299549</x:v>
      </x:c>
      <x:c r="Y26" s="13"/>
      <x:c r="Z26" s="13"/>
      <x:c r="AA26" s="13"/>
    </x:row>
    <x:row r="27" ht="20" customHeight="1">
      <x:c r="A27" s="2" t="n">
        <x:v>24</x:v>
      </x:c>
      <x:c r="B27" s="5" t="n">
        <x:v>1860066.3054977844</x:v>
      </x:c>
      <x:c r="C27" s="5" t="n">
        <x:v>0</x:v>
      </x:c>
      <x:c r="D27" s="5" t="n">
        <x:v>275819.47734176385</x:v>
      </x:c>
      <x:c r="E27" s="5" t="n">
        <x:v>27854.061132215844</x:v>
      </x:c>
      <x:c r="F27" s="5" t="n">
        <x:v>3128.8966833948375</x:v>
      </x:c>
      <x:c r="G27" s="5" t="n">
        <x:v>768.3432043069491</x:v>
      </x:c>
      <x:c r="H27" s="5" t="n">
        <x:v>1581117.9314726256</x:v>
      </x:c>
      <x:c r="I27" s="5" t="n">
        <x:v>2050.4230593666302</x:v>
      </x:c>
      <x:c r="J27" s="5" t="n">
        <x:v>3.765355688225084</x:v>
      </x:c>
      <x:c r="K27" s="5" t="n">
        <x:v>0</x:v>
      </x:c>
      <x:c r="L27" s="5" t="n">
        <x:v>0</x:v>
      </x:c>
      <x:c r="M27" s="5" t="n">
        <x:v>0</x:v>
      </x:c>
      <x:c r="N27" s="5" t="n">
        <x:v>2234.66305936663</x:v>
      </x:c>
      <x:c r="O27" s="5" t="n">
        <x:v>1488053.0443982275</x:v>
      </x:c>
      <x:c r="P27" s="5" t="n">
        <x:v>1264894.3451781005</x:v>
      </x:c>
      <x:c r="Q27" s="5" t="n">
        <x:v>-223158.69922012693</x:v>
      </x:c>
      <x:c r="R27" s="5" t="n">
        <x:v>9920.353629321517</x:v>
      </x:c>
      <x:c r="S27" s="5" t="n">
        <x:v>7500</x:v>
      </x:c>
      <x:c r="T27" s="5" t="n">
        <x:v>2360.5534790878883</x:v>
      </x:c>
      <x:c r="U27" s="5" t="n">
        <x:v>13338.490964439807</x:v>
      </x:c>
      <x:c r="V27" s="5" t="n">
        <x:v>5838.490964439808</x:v>
      </x:c>
      <x:c r="W27" s="5" t="n">
        <x:v>226946.61194299549</x:v>
      </x:c>
      <x:c r="X27" s="5" t="n">
        <x:v>288574.777712467</x:v>
      </x:c>
      <x:c r="Y27" s="13"/>
      <x:c r="Z27" s="13"/>
      <x:c r="AA27" s="13"/>
    </x:row>
    <x:row r="28" ht="20" customHeight="1">
      <x:c r="A28" s="2" t="n">
        <x:v>25</x:v>
      </x:c>
      <x:c r="B28" s="5" t="n">
        <x:v>1581117.9314726256</x:v>
      </x:c>
      <x:c r="C28" s="5" t="n">
        <x:v>0</x:v>
      </x:c>
      <x:c r="D28" s="5" t="n">
        <x:v>253184.0163742606</x:v>
      </x:c>
      <x:c r="E28" s="5" t="n">
        <x:v>23676.87398578794</x:v>
      </x:c>
      <x:c r="F28" s="5" t="n">
        <x:v>2659.6657534296146</x:v>
      </x:c>
      <x:c r="G28" s="5" t="n">
        <x:v>767.7820028015626</x:v>
      </x:c>
      <x:c r="H28" s="5" t="n">
        <x:v>1325274.2493449354</x:v>
      </x:c>
      <x:c r="I28" s="5" t="n">
        <x:v>1865.6739554873511</x:v>
      </x:c>
      <x:c r="J28" s="5" t="n">
        <x:v>3.449103879278989</x:v>
      </x:c>
      <x:c r="K28" s="5" t="n">
        <x:v>0</x:v>
      </x:c>
      <x:c r="L28" s="5" t="n">
        <x:v>0</x:v>
      </x:c>
      <x:c r="M28" s="5" t="n">
        <x:v>0</x:v>
      </x:c>
      <x:c r="N28" s="5" t="n">
        <x:v>2046.973955487351</x:v>
      </x:c>
      <x:c r="O28" s="5" t="n">
        <x:v>1264894.3451781005</x:v>
      </x:c>
      <x:c r="P28" s="5" t="n">
        <x:v>1060219.3994759484</x:v>
      </x:c>
      <x:c r="Q28" s="5" t="n">
        <x:v>-204674.94570215218</x:v>
      </x:c>
      <x:c r="R28" s="5" t="n">
        <x:v>8432.628967854003</x:v>
      </x:c>
      <x:c r="S28" s="5" t="n">
        <x:v>7500</x:v>
      </x:c>
      <x:c r="T28" s="5" t="n">
        <x:v>1891.8837506280522</x:v>
      </x:c>
      <x:c r="U28" s="5" t="n">
        <x:v>11305.387311818533</x:v>
      </x:c>
      <x:c r="V28" s="5" t="n">
        <x:v>3805.387311818534</x:v>
      </x:c>
      <x:c r="W28" s="5" t="n">
        <x:v>288574.777712467</x:v>
      </x:c>
      <x:c r="X28" s="5" t="n">
        <x:v>343548.9014498236</x:v>
      </x:c>
      <x:c r="Y28" s="13"/>
      <x:c r="Z28" s="13"/>
      <x:c r="AA28" s="13"/>
    </x:row>
    <x:row r="29" ht="20" customHeight="1">
      <x:c r="A29" s="2" t="n">
        <x:v>26</x:v>
      </x:c>
      <x:c r="B29" s="5" t="n">
        <x:v>1325274.2493449354</x:v>
      </x:c>
      <x:c r="C29" s="5" t="n">
        <x:v>0</x:v>
      </x:c>
      <x:c r="D29" s="5" t="n">
        <x:v>231766.61595925587</x:v>
      </x:c>
      <x:c r="E29" s="5" t="n">
        <x:v>19845.674237040937</x:v>
      </x:c>
      <x:c r="F29" s="5" t="n">
        <x:v>2229.30020887306</x:v>
      </x:c>
      <x:c r="G29" s="5" t="n">
        <x:v>775.4416407696251</x:v>
      </x:c>
      <x:c r="H29" s="5" t="n">
        <x:v>1091278.3331768066</x:v>
      </x:c>
      <x:c r="I29" s="5" t="n">
        <x:v>1687.115625937288</x:v>
      </x:c>
      <x:c r="J29" s="5" t="n">
        <x:v>3.1383295500631574</x:v>
      </x:c>
      <x:c r="K29" s="5" t="n">
        <x:v>0</x:v>
      </x:c>
      <x:c r="L29" s="5" t="n">
        <x:v>0</x:v>
      </x:c>
      <x:c r="M29" s="5" t="n">
        <x:v>0</x:v>
      </x:c>
      <x:c r="N29" s="5" t="n">
        <x:v>1862.535625937288</x:v>
      </x:c>
      <x:c r="O29" s="5" t="n">
        <x:v>1060219.3994759484</x:v>
      </x:c>
      <x:c r="P29" s="5" t="n">
        <x:v>873022.6665414452</x:v>
      </x:c>
      <x:c r="Q29" s="5" t="n">
        <x:v>-187196.73293450315</x:v>
      </x:c>
      <x:c r="R29" s="5" t="n">
        <x:v>7068.129329839656</x:v>
      </x:c>
      <x:c r="S29" s="5" t="n">
        <x:v>7500</x:v>
      </x:c>
      <x:c r="T29" s="5" t="n">
        <x:v>1453.858568103435</x:v>
      </x:c>
      <x:c r="U29" s="5" t="n">
        <x:v>9461.150713160558</x:v>
      </x:c>
      <x:c r="V29" s="5" t="n">
        <x:v>1961.1507131605572</x:v>
      </x:c>
      <x:c r="W29" s="5" t="n">
        <x:v>343548.9014498236</x:v>
      </x:c>
      <x:c r="X29" s="5" t="n">
        <x:v>392309.23539660993</x:v>
      </x:c>
      <x:c r="Y29" s="13"/>
      <x:c r="Z29" s="13"/>
      <x:c r="AA29" s="13"/>
    </x:row>
    <x:row r="30" ht="20" customHeight="1">
      <x:c r="A30" s="2" t="n">
        <x:v>27</x:v>
      </x:c>
      <x:c r="B30" s="5" t="n">
        <x:v>1091278.3331768066</x:v>
      </x:c>
      <x:c r="C30" s="5" t="n">
        <x:v>0</x:v>
      </x:c>
      <x:c r="D30" s="5" t="n">
        <x:v>210888.24026676625</x:v>
      </x:c>
      <x:c r="E30" s="5" t="n">
        <x:v>16341.639711835307</x:v>
      </x:c>
      <x:c r="F30" s="5" t="n">
        <x:v>1835.6857211193774</x:v>
      </x:c>
      <x:c r="G30" s="5" t="n">
        <x:v>782.2241708487094</x:v>
      </x:c>
      <x:c r="H30" s="5" t="n">
        <x:v>878554.4071889209</x:v>
      </x:c>
      <x:c r="I30" s="5" t="n">
        <x:v>1500.0376569515072</x:v>
      </x:c>
      <x:c r="J30" s="5" t="n">
        <x:v>2.837968985780907</x:v>
      </x:c>
      <x:c r="K30" s="5" t="n">
        <x:v>0</x:v>
      </x:c>
      <x:c r="L30" s="5" t="n">
        <x:v>0</x:v>
      </x:c>
      <x:c r="M30" s="5" t="n">
        <x:v>0</x:v>
      </x:c>
      <x:c r="N30" s="5" t="n">
        <x:v>1684.277656951507</x:v>
      </x:c>
      <x:c r="O30" s="5" t="n">
        <x:v>873022.6665414452</x:v>
      </x:c>
      <x:c r="P30" s="5" t="n">
        <x:v>702843.5257511367</x:v>
      </x:c>
      <x:c r="Q30" s="5" t="n">
        <x:v>-170179.1407903085</x:v>
      </x:c>
      <x:c r="R30" s="5" t="n">
        <x:v>5820.151110276302</x:v>
      </x:c>
      <x:c r="S30" s="5" t="n">
        <x:v>7500</x:v>
      </x:c>
      <x:c r="T30" s="5" t="n">
        <x:v>1053.461550270668</x:v>
      </x:c>
      <x:c r="U30" s="5" t="n">
        <x:v>7783.749394336831</x:v>
      </x:c>
      <x:c r="V30" s="5" t="n">
        <x:v>283.74939433683045</x:v>
      </x:c>
      <x:c r="W30" s="5" t="n">
        <x:v>392309.23539660993</x:v>
      </x:c>
      <x:c r="X30" s="5" t="n">
        <x:v>435137.7699885239</x:v>
      </x:c>
      <x:c r="Y30" s="13"/>
      <x:c r="Z30" s="13"/>
      <x:c r="AA30" s="13"/>
    </x:row>
    <x:row r="31" ht="20" customHeight="1">
      <x:c r="A31" s="2" t="n">
        <x:v>28</x:v>
      </x:c>
      <x:c r="B31" s="5" t="n">
        <x:v>878554.4071889209</x:v>
      </x:c>
      <x:c r="C31" s="5" t="n">
        <x:v>0</x:v>
      </x:c>
      <x:c r="D31" s="5" t="n">
        <x:v>190546.10086761272</x:v>
      </x:c>
      <x:c r="E31" s="5" t="n">
        <x:v>13156.148301535373</x:v>
      </x:c>
      <x:c r="F31" s="5" t="n">
        <x:v>1477.8537532293396</x:v>
      </x:c>
      <x:c r="G31" s="5" t="n">
        <x:v>664.9164383574036</x:v>
      </x:c>
      <x:c r="H31" s="5" t="n">
        <x:v>686530.4525680788</x:v>
      </x:c>
      <x:c r="I31" s="5" t="n">
        <x:v>1307.3943797780373</x:v>
      </x:c>
      <x:c r="J31" s="5" t="n">
        <x:v>2.5232771734698383</x:v>
      </x:c>
      <x:c r="K31" s="5" t="n">
        <x:v>0</x:v>
      </x:c>
      <x:c r="L31" s="5" t="n">
        <x:v>0</x:v>
      </x:c>
      <x:c r="M31" s="5" t="n">
        <x:v>0</x:v>
      </x:c>
      <x:c r="N31" s="5" t="n">
        <x:v>1497.5143797780372</x:v>
      </x:c>
      <x:c r="O31" s="5" t="n">
        <x:v>702843.5257511367</x:v>
      </x:c>
      <x:c r="P31" s="5" t="n">
        <x:v>549224.362054463</x:v>
      </x:c>
      <x:c r="Q31" s="5" t="n">
        <x:v>-153619.16369667367</x:v>
      </x:c>
      <x:c r="R31" s="5" t="n">
        <x:v>4685.623505007578</x:v>
      </x:c>
      <x:c r="S31" s="5" t="n">
        <x:v>7500</x:v>
      </x:c>
      <x:c r="T31" s="5" t="n">
        <x:v>812.937314871936</x:v>
      </x:c>
      <x:c r="U31" s="5" t="n">
        <x:v>6160.0731018778215</x:v>
      </x:c>
      <x:c r="V31" s="5" t="n">
        <x:v>-1339.926898122178</x:v>
      </x:c>
      <x:c r="W31" s="5" t="n">
        <x:v>435137.7699885239</x:v>
      </x:c>
      <x:c r="X31" s="5" t="n">
        <x:v>472202.63401457015</x:v>
      </x:c>
      <x:c r="Y31" s="13"/>
      <x:c r="Z31" s="13"/>
      <x:c r="AA31" s="13"/>
    </x:row>
    <x:row r="32" ht="20" customHeight="1">
      <x:c r="A32" s="2" t="n">
        <x:v>29</x:v>
      </x:c>
      <x:c r="B32" s="5" t="n">
        <x:v>686530.4525680788</x:v>
      </x:c>
      <x:c r="C32" s="5" t="n">
        <x:v>0</x:v>
      </x:c>
      <x:c r="D32" s="5" t="n">
        <x:v>166622.8390739519</x:v>
      </x:c>
      <x:c r="E32" s="5" t="n">
        <x:v>10280.634157200937</x:v>
      </x:c>
      <x:c r="F32" s="5" t="n">
        <x:v>1154.842088016296</x:v>
      </x:c>
      <x:c r="G32" s="5" t="n">
        <x:v>557.325052218265</x:v>
      </x:c>
      <x:c r="H32" s="5" t="n">
        <x:v>518752.7714061106</x:v>
      </x:c>
      <x:c r="I32" s="5" t="n">
        <x:v>1125.8551560586002</x:v>
      </x:c>
      <x:c r="J32" s="5" t="n">
        <x:v>2.199223719437148</x:v>
      </x:c>
      <x:c r="K32" s="5" t="n">
        <x:v>0</x:v>
      </x:c>
      <x:c r="L32" s="5" t="n">
        <x:v>0</x:v>
      </x:c>
      <x:c r="M32" s="5" t="n">
        <x:v>0</x:v>
      </x:c>
      <x:c r="N32" s="5" t="n">
        <x:v>1305.1951560586</x:v>
      </x:c>
      <x:c r="O32" s="5" t="n">
        <x:v>549224.362054463</x:v>
      </x:c>
      <x:c r="P32" s="5" t="n">
        <x:v>415002.2171248885</x:v>
      </x:c>
      <x:c r="Q32" s="5" t="n">
        <x:v>-134222.14492957457</x:v>
      </x:c>
      <x:c r="R32" s="5" t="n">
        <x:v>3661.4957470297536</x:v>
      </x:c>
      <x:c r="S32" s="5" t="n">
        <x:v>7500</x:v>
      </x:c>
      <x:c r="T32" s="5" t="n">
        <x:v>597.517035798031</x:v>
      </x:c>
      <x:c r="U32" s="5" t="n">
        <x:v>4716.426218314553</x:v>
      </x:c>
      <x:c r="V32" s="5" t="n">
        <x:v>-2783.573781685447</x:v>
      </x:c>
      <x:c r="W32" s="5" t="n">
        <x:v>472202.63401457015</x:v>
      </x:c>
      <x:c r="X32" s="5" t="n">
        <x:v>502974.59646527836</x:v>
      </x:c>
      <x:c r="Y32" s="13"/>
      <x:c r="Z32" s="13"/>
      <x:c r="AA32" s="13"/>
    </x:row>
    <x:row r="33" ht="20" customHeight="1">
      <x:c r="A33" s="2" t="n">
        <x:v>30</x:v>
      </x:c>
      <x:c r="B33" s="5" t="n">
        <x:v>518752.7714061106</x:v>
      </x:c>
      <x:c r="C33" s="5" t="n">
        <x:v>0</x:v>
      </x:c>
      <x:c r="D33" s="5" t="n">
        <x:v>143705.6494539902</x:v>
      </x:c>
      <x:c r="E33" s="5" t="n">
        <x:v>7768.202329424652</x:v>
      </x:c>
      <x:c r="F33" s="5" t="n">
        <x:v>872.6161111337831</x:v>
      </x:c>
      <x:c r="G33" s="5" t="n">
        <x:v>458.92143027984434</x:v>
      </x:c>
      <x:c r="H33" s="5" t="n">
        <x:v>374174.5058409866</x:v>
      </x:c>
      <x:c r="I33" s="5" t="n">
        <x:v>941.6813071923727</x:v>
      </x:c>
      <x:c r="J33" s="5" t="n">
        <x:v>1.8938488662273805</x:v>
      </x:c>
      <x:c r="K33" s="5" t="n">
        <x:v>0</x:v>
      </x:c>
      <x:c r="L33" s="5" t="n">
        <x:v>0</x:v>
      </x:c>
      <x:c r="M33" s="5" t="n">
        <x:v>0</x:v>
      </x:c>
      <x:c r="N33" s="5" t="n">
        <x:v>1123.9613071923727</x:v>
      </x:c>
      <x:c r="O33" s="5" t="n">
        <x:v>415002.2171248885</x:v>
      </x:c>
      <x:c r="P33" s="5" t="n">
        <x:v>299339.6046727893</x:v>
      </x:c>
      <x:c r="Q33" s="5" t="n">
        <x:v>-115662.61245209917</x:v>
      </x:c>
      <x:c r="R33" s="5" t="n">
        <x:v>2766.6814474992566</x:v>
      </x:c>
      <x:c r="S33" s="5" t="n">
        <x:v>7500</x:v>
      </x:c>
      <x:c r="T33" s="5" t="n">
        <x:v>413.6946808539387</x:v>
      </x:c>
      <x:c r="U33" s="5" t="n">
        <x:v>3463.8648938790843</x:v>
      </x:c>
      <x:c r="V33" s="5" t="n">
        <x:v>-4036.1351061209157</x:v>
      </x:c>
      <x:c r="W33" s="5" t="n">
        <x:v>502974.59646527836</x:v>
      </x:c>
      <x:c r="X33" s="5" t="n">
        <x:v>527854.1144721822</x:v>
      </x:c>
      <x:c r="Y33" s="13"/>
      <x:c r="Z33" s="13"/>
      <x:c r="AA33" s="13"/>
    </x:row>
    <x:row r="34" ht="20" customHeight="1">
      <x:c r="A34" s="2" t="n">
        <x:v>31</x:v>
      </x:c>
      <x:c r="B34" s="5" t="n">
        <x:v>374174.5058409866</x:v>
      </x:c>
      <x:c r="C34" s="5" t="n">
        <x:v>0</x:v>
      </x:c>
      <x:c r="D34" s="5" t="n">
        <x:v>121435.6287651277</x:v>
      </x:c>
      <x:c r="E34" s="5" t="n">
        <x:v>5603.176364738419</x:v>
      </x:c>
      <x:c r="F34" s="5" t="n">
        <x:v>629.4148584254111</x:v>
      </x:c>
      <x:c r="G34" s="5" t="n">
        <x:v>369.4634383073349</x:v>
      </x:c>
      <x:c r="H34" s="5" t="n">
        <x:v>252109.46221743352</x:v>
      </x:c>
      <x:c r="I34" s="5" t="n">
        <x:v>748.997264994425</x:v>
      </x:c>
      <x:c r="J34" s="5" t="n">
        <x:v>1.5840421979476795</x:v>
      </x:c>
      <x:c r="K34" s="5" t="n">
        <x:v>0</x:v>
      </x:c>
      <x:c r="L34" s="5" t="n">
        <x:v>0</x:v>
      </x:c>
      <x:c r="M34" s="5" t="n">
        <x:v>0</x:v>
      </x:c>
      <x:c r="N34" s="5" t="n">
        <x:v>940.097264994425</x:v>
      </x:c>
      <x:c r="O34" s="5" t="n">
        <x:v>299339.6046727893</x:v>
      </x:c>
      <x:c r="P34" s="5" t="n">
        <x:v>201687.56977394683</x:v>
      </x:c>
      <x:c r="Q34" s="5" t="n">
        <x:v>-97652.0348988425</x:v>
      </x:c>
      <x:c r="R34" s="5" t="n">
        <x:v>1995.597364485262</x:v>
      </x:c>
      <x:c r="S34" s="5" t="n">
        <x:v>7500</x:v>
      </x:c>
      <x:c r="T34" s="5" t="n">
        <x:v>259.95142011807616</x:v>
      </x:c>
      <x:c r="U34" s="5" t="n">
        <x:v>2407.530315140655</x:v>
      </x:c>
      <x:c r="V34" s="5" t="n">
        <x:v>-5092.469684859345</x:v>
      </x:c>
      <x:c r="W34" s="5" t="n">
        <x:v>527854.1144721822</x:v>
      </x:c>
      <x:c r="X34" s="5" t="n">
        <x:v>547174.6535120335</x:v>
      </x:c>
      <x:c r="Y34" s="13"/>
      <x:c r="Z34" s="13"/>
      <x:c r="AA34" s="13"/>
    </x:row>
    <x:row r="35" ht="20" customHeight="1">
      <x:c r="A35" s="2" t="n">
        <x:v>32</x:v>
      </x:c>
      <x:c r="B35" s="5" t="n">
        <x:v>252109.46221743352</x:v>
      </x:c>
      <x:c r="C35" s="5" t="n">
        <x:v>0</x:v>
      </x:c>
      <x:c r="D35" s="5" t="n">
        <x:v>97357.07231354748</x:v>
      </x:c>
      <x:c r="E35" s="5" t="n">
        <x:v>3775.2806724463394</x:v>
      </x:c>
      <x:c r="F35" s="5" t="n">
        <x:v>424.0840543442248</x:v>
      </x:c>
      <x:c r="G35" s="5" t="n">
        <x:v>288.710522004074</x:v>
      </x:c>
      <x:c r="H35" s="5" t="n">
        <x:v>154328.30584954182</x:v>
      </x:c>
      <x:c r="I35" s="5" t="n">
        <x:v>573.2973448230924</x:v>
      </x:c>
      <x:c r="J35" s="5" t="n">
        <x:v>1.2599201713326516</x:v>
      </x:c>
      <x:c r="K35" s="5" t="n">
        <x:v>0</x:v>
      </x:c>
      <x:c r="L35" s="5" t="n">
        <x:v>0</x:v>
      </x:c>
      <x:c r="M35" s="5" t="n">
        <x:v>0</x:v>
      </x:c>
      <x:c r="N35" s="5" t="n">
        <x:v>747.7373448230924</x:v>
      </x:c>
      <x:c r="O35" s="5" t="n">
        <x:v>201687.56977394683</x:v>
      </x:c>
      <x:c r="P35" s="5" t="n">
        <x:v>123462.64467963345</x:v>
      </x:c>
      <x:c r="Q35" s="5" t="n">
        <x:v>-78224.92509431337</x:v>
      </x:c>
      <x:c r="R35" s="5" t="n">
        <x:v>1344.5837984929788</x:v>
      </x:c>
      <x:c r="S35" s="5" t="n">
        <x:v>7500</x:v>
      </x:c>
      <x:c r="T35" s="5" t="n">
        <x:v>135.37353234015083</x:v>
      </x:c>
      <x:c r="U35" s="5" t="n">
        <x:v>1547.5859967901174</x:v>
      </x:c>
      <x:c r="V35" s="5" t="n">
        <x:v>-5952.414003209882</x:v>
      </x:c>
      <x:c r="W35" s="5" t="n">
        <x:v>547174.6535120335</x:v>
      </x:c>
      <x:c r="X35" s="5" t="n">
        <x:v>560778.470782402</x:v>
      </x:c>
      <x:c r="Y35" s="13"/>
      <x:c r="Z35" s="13"/>
      <x:c r="AA35" s="13"/>
    </x:row>
    <x:row r="36" ht="20" customHeight="1">
      <x:c r="A36" s="2" t="n">
        <x:v>33</x:v>
      </x:c>
      <x:c r="B36" s="5" t="n">
        <x:v>154328.30584954182</x:v>
      </x:c>
      <x:c r="C36" s="5" t="n">
        <x:v>0</x:v>
      </x:c>
      <x:c r="D36" s="5" t="n">
        <x:v>75754.56018945514</x:v>
      </x:c>
      <x:c r="E36" s="5" t="n">
        <x:v>2311.0305545877013</x:v>
      </x:c>
      <x:c r="F36" s="5" t="n">
        <x:v>259.6022103617159</x:v>
      </x:c>
      <x:c r="G36" s="5" t="n">
        <x:v>218.15402778344577</x:v>
      </x:c>
      <x:c r="H36" s="5" t="n">
        <x:v>78314.14344972496</x:v>
      </x:c>
      <x:c r="I36" s="5" t="n">
        <x:v>392.9929769639929</x:v>
      </x:c>
      <x:c r="J36" s="5" t="n">
        <x:v>0.9643678590995137</x:v>
      </x:c>
      <x:c r="K36" s="5" t="n">
        <x:v>0</x:v>
      </x:c>
      <x:c r="L36" s="5" t="n">
        <x:v>0</x:v>
      </x:c>
      <x:c r="M36" s="5" t="n">
        <x:v>0</x:v>
      </x:c>
      <x:c r="N36" s="5" t="n">
        <x:v>572.3329769639929</x:v>
      </x:c>
      <x:c r="O36" s="5" t="n">
        <x:v>123462.64467963345</x:v>
      </x:c>
      <x:c r="P36" s="5" t="n">
        <x:v>62651.31475977997</x:v>
      </x:c>
      <x:c r="Q36" s="5" t="n">
        <x:v>-60811.32991985348</x:v>
      </x:c>
      <x:c r="R36" s="5" t="n">
        <x:v>823.084297864223</x:v>
      </x:c>
      <x:c r="S36" s="5" t="n">
        <x:v>7500</x:v>
      </x:c>
      <x:c r="T36" s="5" t="n">
        <x:v>41.44818257827012</x:v>
      </x:c>
      <x:c r="U36" s="5" t="n">
        <x:v>874.1650971812154</x:v>
      </x:c>
      <x:c r="V36" s="5" t="n">
        <x:v>-6625.834902818785</x:v>
      </x:c>
      <x:c r="W36" s="5" t="n">
        <x:v>560778.470782402</x:v>
      </x:c>
      <x:c r="X36" s="5" t="n">
        <x:v>569355.4683595465</x:v>
      </x:c>
      <x:c r="Y36" s="13"/>
      <x:c r="Z36" s="13"/>
      <x:c r="AA36" s="13"/>
    </x:row>
    <x:row r="37" ht="20" customHeight="1">
      <x:c r="A37" s="2" t="n">
        <x:v>34</x:v>
      </x:c>
      <x:c r="B37" s="5" t="n">
        <x:v>78314.14344972496</x:v>
      </x:c>
      <x:c r="C37" s="5" t="n">
        <x:v>0</x:v>
      </x:c>
      <x:c r="D37" s="5" t="n">
        <x:v>52022.759653268724</x:v>
      </x:c>
      <x:c r="E37" s="5" t="n">
        <x:v>1172.7361184482024</x:v>
      </x:c>
      <x:c r="F37" s="5" t="n">
        <x:v>131.73555317813043</x:v>
      </x:c>
      <x:c r="G37" s="5" t="n">
        <x:v>157.35371460635278</x:v>
      </x:c>
      <x:c r="H37" s="5" t="n">
        <x:v>26159.648243278105</x:v>
      </x:c>
      <x:c r="I37" s="5" t="n">
        <x:v>197.31190675451396</x:v>
      </x:c>
      <x:c r="J37" s="5" t="n">
        <x:v>0.66107020947892</x:v>
      </x:c>
      <x:c r="K37" s="5" t="n">
        <x:v>0</x:v>
      </x:c>
      <x:c r="L37" s="5" t="n">
        <x:v>0</x:v>
      </x:c>
      <x:c r="M37" s="5" t="n">
        <x:v>0</x:v>
      </x:c>
      <x:c r="N37" s="5" t="n">
        <x:v>392.33190675451397</x:v>
      </x:c>
      <x:c r="O37" s="5" t="n">
        <x:v>62651.31475977997</x:v>
      </x:c>
      <x:c r="P37" s="5" t="n">
        <x:v>20927.71859462248</x:v>
      </x:c>
      <x:c r="Q37" s="5" t="n">
        <x:v>-41723.59616515748</x:v>
      </x:c>
      <x:c r="R37" s="5" t="n">
        <x:v>417.67543173186647</x:v>
      </x:c>
      <x:c r="S37" s="5" t="n">
        <x:v>7500</x:v>
      </x:c>
      <x:c r="T37" s="5" t="n">
        <x:v>-25.618161428222336</x:v>
      </x:c>
      <x:c r="U37" s="5" t="n">
        <x:v>388.3469413900444</x:v>
      </x:c>
      <x:c r="V37" s="5" t="n">
        <x:v>-7111.653058609955</x:v>
      </x:c>
      <x:c r="W37" s="5" t="n">
        <x:v>569355.4683595465</x:v>
      </x:c>
      <x:c r="X37" s="5" t="n">
        <x:v>572674.7143422259</x:v>
      </x:c>
      <x:c r="Y37" s="13"/>
      <x:c r="Z37" s="13"/>
      <x:c r="AA37" s="13"/>
    </x:row>
    <x:row r="38" ht="20" customHeight="1">
      <x:c r="A38" s="2" t="n">
        <x:v>35</x:v>
      </x:c>
      <x:c r="B38" s="5" t="n">
        <x:v>26159.648243278105</x:v>
      </x:c>
      <x:c r="C38" s="5" t="n">
        <x:v>0</x:v>
      </x:c>
      <x:c r="D38" s="5" t="n">
        <x:v>26115.64398580339</x:v>
      </x:c>
      <x:c r="E38" s="5" t="n">
        <x:v>391.7346597870508</x:v>
      </x:c>
      <x:c r="F38" s="5" t="n">
        <x:v>44.004257474716105</x:v>
      </x:c>
      <x:c r="G38" s="5" t="n">
        <x:v>106.0210135860562</x:v>
      </x:c>
      <x:c r="H38" s="5" t="n">
        <x:v>0</x:v>
      </x:c>
      <x:c r="I38" s="5" t="n">
        <x:v>0</x:v>
      </x:c>
      <x:c r="J38" s="5" t="n">
        <x:v>0.3319067545139431</x:v>
      </x:c>
      <x:c r="K38" s="5" t="n">
        <x:v>0</x:v>
      </x:c>
      <x:c r="L38" s="5" t="n">
        <x:v>0</x:v>
      </x:c>
      <x:c r="M38" s="5" t="n">
        <x:v>0</x:v>
      </x:c>
      <x:c r="N38" s="5" t="n">
        <x:v>196.98</x:v>
      </x:c>
      <x:c r="O38" s="5" t="n">
        <x:v>20927.71859462248</x:v>
      </x:c>
      <x:c r="P38" s="5" t="n">
        <x:v>0</x:v>
      </x:c>
      <x:c r="Q38" s="5" t="n">
        <x:v>-20927.71859462248</x:v>
      </x:c>
      <x:c r="R38" s="5" t="n">
        <x:v>139.51812396414988</x:v>
      </x:c>
      <x:c r="S38" s="5" t="n">
        <x:v>7500</x:v>
      </x:c>
      <x:c r="T38" s="5" t="n">
        <x:v>-62.0167561113401</x:v>
      </x:c>
      <x:c r="U38" s="5" t="n">
        <x:v>117.25329193424103</x:v>
      </x:c>
      <x:c r="V38" s="5" t="n">
        <x:v>-7382.746708065759</x:v>
      </x:c>
      <x:c r="W38" s="5" t="n">
        <x:v>572674.7143422259</x:v>
      </x:c>
      <x:c r="X38" s="5" t="n">
        <x:v>570523.8972828158</x:v>
      </x:c>
      <x:c r="Y38" s="13"/>
      <x:c r="Z38" s="13"/>
      <x:c r="AA38" s="13"/>
    </x:row>
    <x:row r="39" ht="20" customHeight="1">
      <x:c r="A39" s="2" t="n">
        <x:v>36</x:v>
      </x:c>
      <x:c r="B39" s="5" t="n">
        <x:v>0</x:v>
      </x:c>
      <x:c r="C39" s="5" t="n">
        <x:v>0</x:v>
      </x:c>
      <x:c r="D39" s="5" t="n">
        <x:v>0</x:v>
      </x:c>
      <x:c r="E39" s="5" t="n">
        <x:v>0</x:v>
      </x:c>
      <x:c r="F39" s="5" t="n">
        <x:v>0</x:v>
      </x:c>
      <x:c r="G39" s="5" t="n">
        <x:v>64.90055259042897</x:v>
      </x:c>
      <x:c r="H39" s="5" t="n">
        <x:v>0</x:v>
      </x:c>
      <x:c r="I39" s="5" t="n">
        <x:v>0</x:v>
      </x:c>
      <x:c r="J39" s="5" t="n">
        <x:v>0</x:v>
      </x:c>
      <x:c r="K39" s="5" t="n">
        <x:v>0</x:v>
      </x:c>
      <x:c r="L39" s="5" t="n">
        <x:v>0</x:v>
      </x:c>
      <x:c r="M39" s="5" t="n">
        <x:v>0</x:v>
      </x:c>
      <x:c r="N39" s="5" t="n">
        <x:v>0</x:v>
      </x:c>
      <x:c r="O39" s="5" t="n">
        <x:v>0</x:v>
      </x:c>
      <x:c r="P39" s="5" t="n">
        <x:v>0</x:v>
      </x:c>
      <x:c r="Q39" s="5" t="n">
        <x:v>0</x:v>
      </x:c>
      <x:c r="R39" s="5" t="n">
        <x:v>0</x:v>
      </x:c>
      <x:c r="S39" s="5" t="n">
        <x:v>7500</x:v>
      </x:c>
      <x:c r="T39" s="5" t="n">
        <x:v>-64.90055259042897</x:v>
      </x:c>
      <x:c r="U39" s="5" t="n">
        <x:v>64.90055259042897</x:v>
      </x:c>
      <x:c r="V39" s="5" t="n">
        <x:v>-7435.099447409571</x:v>
      </x:c>
      <x:c r="W39" s="5" t="n">
        <x:v>570523.8972828158</x:v>
      </x:c>
      <x:c r="X39" s="5" t="n">
        <x:v>563088.7978354063</x:v>
      </x:c>
      <x:c r="Y39" s="13"/>
      <x:c r="Z39" s="13"/>
      <x:c r="AA39" s="13"/>
    </x:row>
    <x:row r="40" ht="20" customHeight="1">
      <x:c r="A40" s="2" t="n">
        <x:v>37</x:v>
      </x:c>
      <x:c r="B40" s="5" t="n">
        <x:v>0</x:v>
      </x:c>
      <x:c r="C40" s="5" t="n">
        <x:v>0</x:v>
      </x:c>
      <x:c r="D40" s="5" t="n">
        <x:v>0</x:v>
      </x:c>
      <x:c r="E40" s="5" t="n">
        <x:v>0</x:v>
      </x:c>
      <x:c r="F40" s="5" t="n">
        <x:v>0</x:v>
      </x:c>
      <x:c r="G40" s="5" t="n">
        <x:v>32.93388829453261</x:v>
      </x:c>
      <x:c r="H40" s="5" t="n">
        <x:v>0</x:v>
      </x:c>
      <x:c r="I40" s="5" t="n">
        <x:v>0</x:v>
      </x:c>
      <x:c r="J40" s="5" t="n">
        <x:v>0</x:v>
      </x:c>
      <x:c r="K40" s="5" t="n">
        <x:v>0</x:v>
      </x:c>
      <x:c r="L40" s="5" t="n">
        <x:v>0</x:v>
      </x:c>
      <x:c r="M40" s="5" t="n">
        <x:v>0</x:v>
      </x:c>
      <x:c r="N40" s="5" t="n">
        <x:v>0</x:v>
      </x:c>
      <x:c r="O40" s="5" t="n">
        <x:v>0</x:v>
      </x:c>
      <x:c r="P40" s="5" t="n">
        <x:v>0</x:v>
      </x:c>
      <x:c r="Q40" s="5" t="n">
        <x:v>0</x:v>
      </x:c>
      <x:c r="R40" s="5" t="n">
        <x:v>0</x:v>
      </x:c>
      <x:c r="S40" s="5" t="n">
        <x:v>7500</x:v>
      </x:c>
      <x:c r="T40" s="5" t="n">
        <x:v>-32.93388829453261</x:v>
      </x:c>
      <x:c r="U40" s="5" t="n">
        <x:v>32.93388829453261</x:v>
      </x:c>
      <x:c r="V40" s="5" t="n">
        <x:v>-7467.066111705467</x:v>
      </x:c>
      <x:c r="W40" s="5" t="n">
        <x:v>563088.7978354063</x:v>
      </x:c>
      <x:c r="X40" s="5" t="n">
        <x:v>555621.7317237008</x:v>
      </x:c>
      <x:c r="Y40" s="13"/>
      <x:c r="Z40" s="13"/>
      <x:c r="AA40" s="13"/>
    </x:row>
    <x:row r="41" ht="20" customHeight="1">
      <x:c r="A41" s="2" t="n">
        <x:v>38</x:v>
      </x:c>
      <x:c r="B41" s="5" t="n">
        <x:v>0</x:v>
      </x:c>
      <x:c r="C41" s="5" t="n">
        <x:v>0</x:v>
      </x:c>
      <x:c r="D41" s="5" t="n">
        <x:v>0</x:v>
      </x:c>
      <x:c r="E41" s="5" t="n">
        <x:v>0</x:v>
      </x:c>
      <x:c r="F41" s="5" t="n">
        <x:v>0</x:v>
      </x:c>
      <x:c r="G41" s="5" t="n">
        <x:v>11.001064368679026</x:v>
      </x:c>
      <x:c r="H41" s="5" t="n">
        <x:v>0</x:v>
      </x:c>
      <x:c r="I41" s="5" t="n">
        <x:v>0</x:v>
      </x:c>
      <x:c r="J41" s="5" t="n">
        <x:v>0</x:v>
      </x:c>
      <x:c r="K41" s="5" t="n">
        <x:v>0</x:v>
      </x:c>
      <x:c r="L41" s="5" t="n">
        <x:v>0</x:v>
      </x:c>
      <x:c r="M41" s="5" t="n">
        <x:v>0</x:v>
      </x:c>
      <x:c r="N41" s="5" t="n">
        <x:v>0</x:v>
      </x:c>
      <x:c r="O41" s="5" t="n">
        <x:v>0</x:v>
      </x:c>
      <x:c r="P41" s="5" t="n">
        <x:v>0</x:v>
      </x:c>
      <x:c r="Q41" s="5" t="n">
        <x:v>0</x:v>
      </x:c>
      <x:c r="R41" s="5" t="n">
        <x:v>0</x:v>
      </x:c>
      <x:c r="S41" s="5" t="n">
        <x:v>7500</x:v>
      </x:c>
      <x:c r="T41" s="5" t="n">
        <x:v>-11.001064368679026</x:v>
      </x:c>
      <x:c r="U41" s="5" t="n">
        <x:v>11.001064368679026</x:v>
      </x:c>
      <x:c r="V41" s="5" t="n">
        <x:v>-7488.998935631321</x:v>
      </x:c>
      <x:c r="W41" s="5" t="n">
        <x:v>555621.7317237008</x:v>
      </x:c>
      <x:c r="X41" s="5" t="n">
        <x:v>548132.7327880694</x:v>
      </x:c>
      <x:c r="Y41" s="13"/>
      <x:c r="Z41" s="13"/>
      <x:c r="AA41" s="13"/>
    </x:row>
    <x:row r="42"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</x:row>
    <x:row r="43"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</x:row>
    <x:row r="44"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</x:row>
    <x:row r="45"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</x:row>
    <x:row r="46"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</x:row>
    <x:row r="47"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</x:row>
    <x:row r="48"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</x:row>
    <x:row r="49"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</x:row>
    <x:row r="50"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</x:row>
    <x:row r="51"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</x:row>
    <x:row r="52"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</x:row>
    <x:row r="53"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</x:row>
    <x:row r="54"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</x:row>
    <x:row r="55"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</x:row>
    <x:row r="56"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</x:row>
    <x:row r="57"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</x:row>
    <x:row r="58"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</x:row>
    <x:row r="59"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</x:row>
    <x:row r="60"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</x:row>
    <x:row r="61"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</x:row>
    <x:row r="62"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</x:row>
    <x:row r="63"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</x:row>
    <x:row r="64"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</x:row>
    <x:row r="65"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</x:row>
    <x:row r="66"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</x:row>
    <x:row r="67"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</x:row>
    <x:row r="68"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</x:row>
    <x:row r="69"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</x:row>
    <x:row r="70"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</x:row>
    <x:row r="71"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</x:row>
    <x:row r="72"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</x:row>
    <x:row r="73"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</x:row>
    <x:row r="74"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</x:row>
    <x:row r="75"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</x:row>
    <x:row r="76"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</x:row>
    <x:row r="77"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</x:row>
    <x:row r="78"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</x:row>
    <x:row r="79"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</x:row>
    <x:row r="80"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</x:row>
    <x:row r="81"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</x:row>
    <x:row r="82"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</x:row>
    <x:row r="83"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</x:row>
    <x:row r="84"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</x:row>
    <x:row r="85"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</x:row>
    <x:row r="86"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</x:row>
    <x:row r="87"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</x:row>
    <x:row r="88"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</x:row>
    <x:row r="89"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</x:row>
    <x:row r="90"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</x:row>
    <x:row r="91"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</x:row>
    <x:row r="92"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</x:row>
    <x:row r="93"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</x:row>
    <x:row r="94"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</x:row>
    <x:row r="95"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</x:row>
    <x:row r="96"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</x:row>
    <x:row r="97"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</x:row>
    <x:row r="98"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</x:row>
    <x:row r="99"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</x:row>
    <x:row r="100"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36" customHeight="1">
      <x:c r="A1" s="9" t="str">
        <x:v>origination_month</x:v>
      </x:c>
      <x:c r="B1" s="9" t="str">
        <x:v>risk_band</x:v>
      </x:c>
      <x:c r="C1" s="9" t="str">
        <x:v>month</x:v>
      </x:c>
      <x:c r="D1" s="9" t="str">
        <x:v>age</x:v>
      </x:c>
      <x:c r="E1" s="9" t="str">
        <x:v>opening_principal</x:v>
      </x:c>
      <x:c r="F1" s="9" t="str">
        <x:v>originations</x:v>
      </x:c>
      <x:c r="G1" s="9" t="str">
        <x:v>principal_collections</x:v>
      </x:c>
      <x:c r="H1" s="9" t="str">
        <x:v>interest_revenue</x:v>
      </x:c>
      <x:c r="I1" s="9" t="str">
        <x:v>gross_chargeoffs</x:v>
      </x:c>
      <x:c r="J1" s="9" t="str">
        <x:v>recoveries</x:v>
      </x:c>
      <x:c r="K1" s="9" t="str">
        <x:v>ending_principal</x:v>
      </x:c>
      <x:c r="L1" s="9" t="str">
        <x:v>expected_active</x:v>
      </x:c>
      <x:c r="M1" s="9" t="str">
        <x:v>expected_defaults</x:v>
      </x:c>
      <x:c r="N1" s="9" t="str">
        <x:v>funded_loans</x:v>
      </x:c>
      <x:c r="O1" s="9" t="str">
        <x:v>merchant_fees</x:v>
      </x:c>
      <x:c r="P1" s="9" t="str">
        <x:v>acquisition_expense</x:v>
      </x:c>
      <x:c r="Q1" s="9" t="str">
        <x:v>servicing_expense</x:v>
      </x:c>
    </x:row>
    <x:row r="2" ht="44" customHeight="1">
      <x:c r="A2" s="14" t="str">
        <x:v>month index, zero-based</x:v>
      </x:c>
      <x:c r="B2" s="14" t="str">
        <x:v>illustrative risk category</x:v>
      </x:c>
      <x:c r="C2" s="14" t="str">
        <x:v>month index, zero-based</x:v>
      </x:c>
      <x:c r="D2" s="14" t="str">
        <x:v>month index, zero-based</x:v>
      </x:c>
      <x:c r="E2" s="14" t="str">
        <x:v>USD, opening balance</x:v>
      </x:c>
      <x:c r="F2" s="14" t="str">
        <x:v>USD, monthly flow</x:v>
      </x:c>
      <x:c r="G2" s="14" t="str">
        <x:v>USD, monthly flow</x:v>
      </x:c>
      <x:c r="H2" s="14" t="str">
        <x:v>USD, monthly flow</x:v>
      </x:c>
      <x:c r="I2" s="14" t="str">
        <x:v>USD, monthly flow</x:v>
      </x:c>
      <x:c r="J2" s="14" t="str">
        <x:v>USD, monthly flow</x:v>
      </x:c>
      <x:c r="K2" s="14" t="str">
        <x:v>USD, month-end balance</x:v>
      </x:c>
      <x:c r="L2" s="14" t="str">
        <x:v>expected loan/application count; may be fractional</x:v>
      </x:c>
      <x:c r="M2" s="14" t="str">
        <x:v>expected loan/application count; may be fractional</x:v>
      </x:c>
      <x:c r="N2" s="14" t="str">
        <x:v>expected loan/application count; may be fractional</x:v>
      </x:c>
      <x:c r="O2" s="14" t="str">
        <x:v>USD, monthly flow</x:v>
      </x:c>
      <x:c r="P2" s="14" t="str">
        <x:v>USD, monthly flow</x:v>
      </x:c>
      <x:c r="Q2" s="14" t="str">
        <x:v>USD, monthly flow</x:v>
      </x:c>
    </x:row>
    <x:row r="3" ht="20" customHeight="1">
      <x:c r="A3" s="2" t="n">
        <x:v>0</x:v>
      </x:c>
      <x:c r="B3" s="2" t="str">
        <x:v>low</x:v>
      </x:c>
      <x:c r="C3" s="2" t="n">
        <x:v>0</x:v>
      </x:c>
      <x:c r="D3" s="2" t="n">
        <x:v>0</x:v>
      </x:c>
      <x:c r="E3" s="5" t="n">
        <x:v>0</x:v>
      </x:c>
      <x:c r="F3" s="5" t="n">
        <x:v>289160.12</x:v>
      </x:c>
      <x:c r="G3" s="5" t="n">
        <x:v>0</x:v>
      </x:c>
      <x:c r="H3" s="5" t="n">
        <x:v>0</x:v>
      </x:c>
      <x:c r="I3" s="5" t="n">
        <x:v>0</x:v>
      </x:c>
      <x:c r="J3" s="5" t="n">
        <x:v>0</x:v>
      </x:c>
      <x:c r="K3" s="5" t="n">
        <x:v>289160.12</x:v>
      </x:c>
      <x:c r="L3" s="5" t="n">
        <x:v>190</x:v>
      </x:c>
      <x:c r="M3" s="5" t="n">
        <x:v>0</x:v>
      </x:c>
      <x:c r="N3" s="5" t="n">
        <x:v>190</x:v>
      </x:c>
      <x:c r="O3" s="5" t="n">
        <x:v>5783.2024</x:v>
      </x:c>
      <x:c r="P3" s="5" t="n">
        <x:v>4750</x:v>
      </x:c>
      <x:c r="Q3" s="2" t="n">
        <x:v>0</x:v>
      </x:c>
    </x:row>
    <x:row r="4" ht="20" customHeight="1">
      <x:c r="A4" s="2" t="n">
        <x:v>0</x:v>
      </x:c>
      <x:c r="B4" s="2" t="str">
        <x:v>low</x:v>
      </x:c>
      <x:c r="C4" s="2" t="n">
        <x:v>1</x:v>
      </x:c>
      <x:c r="D4" s="2" t="n">
        <x:v>1</x:v>
      </x:c>
      <x:c r="E4" s="5" t="n">
        <x:v>289160.12</x:v>
      </x:c>
      <x:c r="F4" s="5" t="n">
        <x:v>0</x:v>
      </x:c>
      <x:c r="G4" s="5" t="n">
        <x:v>22135.49814678299</x:v>
      </x:c>
      <x:c r="H4" s="5" t="n">
        <x:v>4330.105671863891</x:v>
      </x:c>
      <x:c r="I4" s="5" t="n">
        <x:v>486.4085424072701</x:v>
      </x:c>
      <x:c r="J4" s="5" t="n">
        <x:v>0</x:v>
      </x:c>
      <x:c r="K4" s="5" t="n">
        <x:v>266538.21331080975</x:v>
      </x:c>
      <x:c r="L4" s="5" t="n">
        <x:v>189.68039291497948</x:v>
      </x:c>
      <x:c r="M4" s="5" t="n">
        <x:v>0.31960708502051155</x:v>
      </x:c>
      <x:c r="N4" s="5" t="n">
        <x:v>0</x:v>
      </x:c>
      <x:c r="O4" s="5" t="n">
        <x:v>0</x:v>
      </x:c>
      <x:c r="P4" s="5" t="n">
        <x:v>0</x:v>
      </x:c>
      <x:c r="Q4" s="2" t="n">
        <x:v>189.68039291497948</x:v>
      </x:c>
    </x:row>
    <x:row r="5" ht="20" customHeight="1">
      <x:c r="A5" s="2" t="n">
        <x:v>0</x:v>
      </x:c>
      <x:c r="B5" s="2" t="str">
        <x:v>low</x:v>
      </x:c>
      <x:c r="C5" s="2" t="n">
        <x:v>2</x:v>
      </x:c>
      <x:c r="D5" s="2" t="n">
        <x:v>2</x:v>
      </x:c>
      <x:c r="E5" s="5" t="n">
        <x:v>266538.21331080975</x:v>
      </x:c>
      <x:c r="F5" s="5" t="n">
        <x:v>0</x:v>
      </x:c>
      <x:c r="G5" s="5" t="n">
        <x:v>22429.73702967556</x:v>
      </x:c>
      <x:c r="H5" s="5" t="n">
        <x:v>3991.347870604027</x:v>
      </x:c>
      <x:c r="I5" s="5" t="n">
        <x:v>448.35527054128005</x:v>
      </x:c>
      <x:c r="J5" s="5" t="n">
        <x:v>0</x:v>
      </x:c>
      <x:c r="K5" s="5" t="n">
        <x:v>243660.1210105929</x:v>
      </x:c>
      <x:c r="L5" s="5" t="n">
        <x:v>189.36132345463685</x:v>
      </x:c>
      <x:c r="M5" s="5" t="n">
        <x:v>0.3190694603426415</x:v>
      </x:c>
      <x:c r="N5" s="5" t="n">
        <x:v>0</x:v>
      </x:c>
      <x:c r="O5" s="5" t="n">
        <x:v>0</x:v>
      </x:c>
      <x:c r="P5" s="5" t="n">
        <x:v>0</x:v>
      </x:c>
      <x:c r="Q5" s="2" t="n">
        <x:v>189.36132345463685</x:v>
      </x:c>
    </x:row>
    <x:row r="6" ht="20" customHeight="1">
      <x:c r="A6" s="2" t="n">
        <x:v>0</x:v>
      </x:c>
      <x:c r="B6" s="2" t="str">
        <x:v>low</x:v>
      </x:c>
      <x:c r="C6" s="2" t="n">
        <x:v>3</x:v>
      </x:c>
      <x:c r="D6" s="2" t="n">
        <x:v>3</x:v>
      </x:c>
      <x:c r="E6" s="5" t="n">
        <x:v>243660.1210105929</x:v>
      </x:c>
      <x:c r="F6" s="5" t="n">
        <x:v>0</x:v>
      </x:c>
      <x:c r="G6" s="5" t="n">
        <x:v>22727.887119789757</x:v>
      </x:c>
      <x:c r="H6" s="5" t="n">
        <x:v>3648.75374928953</x:v>
      </x:c>
      <x:c r="I6" s="5" t="n">
        <x:v>409.8710579575826</x:v>
      </x:c>
      <x:c r="J6" s="5" t="n">
        <x:v>0</x:v>
      </x:c>
      <x:c r="K6" s="5" t="n">
        <x:v>220522.36283284557</x:v>
      </x:c>
      <x:c r="L6" s="5" t="n">
        <x:v>189.04279071461073</x:v>
      </x:c>
      <x:c r="M6" s="5" t="n">
        <x:v>0.3185327400261195</x:v>
      </x:c>
      <x:c r="N6" s="5" t="n">
        <x:v>0</x:v>
      </x:c>
      <x:c r="O6" s="5" t="n">
        <x:v>0</x:v>
      </x:c>
      <x:c r="P6" s="5" t="n">
        <x:v>0</x:v>
      </x:c>
      <x:c r="Q6" s="2" t="n">
        <x:v>189.04279071461073</x:v>
      </x:c>
    </x:row>
    <x:row r="7" ht="20" customHeight="1">
      <x:c r="A7" s="2" t="n">
        <x:v>0</x:v>
      </x:c>
      <x:c r="B7" s="2" t="str">
        <x:v>low</x:v>
      </x:c>
      <x:c r="C7" s="2" t="n">
        <x:v>4</x:v>
      </x:c>
      <x:c r="D7" s="2" t="n">
        <x:v>4</x:v>
      </x:c>
      <x:c r="E7" s="5" t="n">
        <x:v>220522.36283284557</x:v>
      </x:c>
      <x:c r="F7" s="5" t="n">
        <x:v>0</x:v>
      </x:c>
      <x:c r="G7" s="5" t="n">
        <x:v>23030.000407337673</x:v>
      </x:c>
      <x:c r="H7" s="5" t="n">
        <x:v>3302.2711917374063</x:v>
      </x:c>
      <x:c r="I7" s="5" t="n">
        <x:v>370.9500503517966</x:v>
      </x:c>
      <x:c r="J7" s="5" t="n">
        <x:v>121.60213560181752</x:v>
      </x:c>
      <x:c r="K7" s="5" t="n">
        <x:v>197121.4123751561</x:v>
      </x:c>
      <x:c r="L7" s="5" t="n">
        <x:v>188.72479379206104</x:v>
      </x:c>
      <x:c r="M7" s="5" t="n">
        <x:v>0.3179969225496808</x:v>
      </x:c>
      <x:c r="N7" s="5" t="n">
        <x:v>0</x:v>
      </x:c>
      <x:c r="O7" s="5" t="n">
        <x:v>0</x:v>
      </x:c>
      <x:c r="P7" s="5" t="n">
        <x:v>0</x:v>
      </x:c>
      <x:c r="Q7" s="2" t="n">
        <x:v>188.72479379206104</x:v>
      </x:c>
    </x:row>
    <x:row r="8" ht="20" customHeight="1">
      <x:c r="A8" s="2" t="n">
        <x:v>0</x:v>
      </x:c>
      <x:c r="B8" s="2" t="str">
        <x:v>low</x:v>
      </x:c>
      <x:c r="C8" s="2" t="n">
        <x:v>5</x:v>
      </x:c>
      <x:c r="D8" s="2" t="n">
        <x:v>5</x:v>
      </x:c>
      <x:c r="E8" s="5" t="n">
        <x:v>197121.4123751561</x:v>
      </x:c>
      <x:c r="F8" s="5" t="n">
        <x:v>0</x:v>
      </x:c>
      <x:c r="G8" s="5" t="n">
        <x:v>23336.129573617825</x:v>
      </x:c>
      <x:c r="H8" s="5" t="n">
        <x:v>2951.847390890156</x:v>
      </x:c>
      <x:c r="I8" s="5" t="n">
        <x:v>331.5863158123675</x:v>
      </x:c>
      <x:c r="J8" s="5" t="n">
        <x:v>112.08881763532001</x:v>
      </x:c>
      <x:c r="K8" s="5" t="n">
        <x:v>173453.6964857259</x:v>
      </x:c>
      <x:c r="L8" s="5" t="n">
        <x:v>188.40733178566643</x:v>
      </x:c>
      <x:c r="M8" s="5" t="n">
        <x:v>0.3174620063946198</x:v>
      </x:c>
      <x:c r="N8" s="5" t="n">
        <x:v>0</x:v>
      </x:c>
      <x:c r="O8" s="5" t="n">
        <x:v>0</x:v>
      </x:c>
      <x:c r="P8" s="5" t="n">
        <x:v>0</x:v>
      </x:c>
      <x:c r="Q8" s="2" t="n">
        <x:v>188.40733178566643</x:v>
      </x:c>
    </x:row>
    <x:row r="9" ht="20" customHeight="1">
      <x:c r="A9" s="2" t="n">
        <x:v>0</x:v>
      </x:c>
      <x:c r="B9" s="2" t="str">
        <x:v>low</x:v>
      </x:c>
      <x:c r="C9" s="2" t="n">
        <x:v>6</x:v>
      </x:c>
      <x:c r="D9" s="2" t="n">
        <x:v>6</x:v>
      </x:c>
      <x:c r="E9" s="5" t="n">
        <x:v>173453.6964857259</x:v>
      </x:c>
      <x:c r="F9" s="5" t="n">
        <x:v>0</x:v>
      </x:c>
      <x:c r="G9" s="5" t="n">
        <x:v>23646.328000201484</x:v>
      </x:c>
      <x:c r="H9" s="5" t="n">
        <x:v>2597.4288396290594</x:v>
      </x:c>
      <x:c r="I9" s="5" t="n">
        <x:v>291.7738437886074</x:v>
      </x:c>
      <x:c r="J9" s="5" t="n">
        <x:v>102.46776448939565</x:v>
      </x:c>
      <x:c r="K9" s="5" t="n">
        <x:v>149515.5946417358</x:v>
      </x:c>
      <x:c r="L9" s="5" t="n">
        <x:v>188.09040379562165</x:v>
      </x:c>
      <x:c r="M9" s="5" t="n">
        <x:v>0.31692799004478533</x:v>
      </x:c>
      <x:c r="N9" s="5" t="n">
        <x:v>0</x:v>
      </x:c>
      <x:c r="O9" s="5" t="n">
        <x:v>0</x:v>
      </x:c>
      <x:c r="P9" s="5" t="n">
        <x:v>0</x:v>
      </x:c>
      <x:c r="Q9" s="2" t="n">
        <x:v>188.09040379562165</x:v>
      </x:c>
    </x:row>
    <x:row r="10" ht="20" customHeight="1">
      <x:c r="A10" s="2" t="n">
        <x:v>0</x:v>
      </x:c>
      <x:c r="B10" s="2" t="str">
        <x:v>low</x:v>
      </x:c>
      <x:c r="C10" s="2" t="n">
        <x:v>7</x:v>
      </x:c>
      <x:c r="D10" s="2" t="n">
        <x:v>7</x:v>
      </x:c>
      <x:c r="E10" s="5" t="n">
        <x:v>149515.5946417358</x:v>
      </x:c>
      <x:c r="F10" s="5" t="n">
        <x:v>0</x:v>
      </x:c>
      <x:c r="G10" s="5" t="n">
        <x:v>23960.649778241153</x:v>
      </x:c>
      <x:c r="H10" s="5" t="n">
        <x:v>2238.961321465362</x:v>
      </x:c>
      <x:c r="I10" s="5" t="n">
        <x:v>251.50654404501893</x:v>
      </x:c>
      <x:c r="J10" s="5" t="n">
        <x:v>92.73751258794915</x:v>
      </x:c>
      <x:c r="K10" s="5" t="n">
        <x:v>125303.43831944963</x:v>
      </x:c>
      <x:c r="L10" s="5" t="n">
        <x:v>187.77400892363505</x:v>
      </x:c>
      <x:c r="M10" s="5" t="n">
        <x:v>0.3163948719865768</x:v>
      </x:c>
      <x:c r="N10" s="5" t="n">
        <x:v>0</x:v>
      </x:c>
      <x:c r="O10" s="5" t="n">
        <x:v>0</x:v>
      </x:c>
      <x:c r="P10" s="5" t="n">
        <x:v>0</x:v>
      </x:c>
      <x:c r="Q10" s="2" t="n">
        <x:v>187.77400892363505</x:v>
      </x:c>
    </x:row>
    <x:row r="11" ht="20" customHeight="1">
      <x:c r="A11" s="2" t="n">
        <x:v>0</x:v>
      </x:c>
      <x:c r="B11" s="2" t="str">
        <x:v>low</x:v>
      </x:c>
      <x:c r="C11" s="2" t="n">
        <x:v>8</x:v>
      </x:c>
      <x:c r="D11" s="2" t="n">
        <x:v>8</x:v>
      </x:c>
      <x:c r="E11" s="5" t="n">
        <x:v>125303.43831944963</x:v>
      </x:c>
      <x:c r="F11" s="5" t="n">
        <x:v>0</x:v>
      </x:c>
      <x:c r="G11" s="5" t="n">
        <x:v>24279.149717902754</x:v>
      </x:c>
      <x:c r="H11" s="5" t="n">
        <x:v>1876.3899011077187</x:v>
      </x:c>
      <x:c r="I11" s="5" t="n">
        <x:v>210.7782456017198</x:v>
      </x:c>
      <x:c r="J11" s="5" t="n">
        <x:v>82.89657895309188</x:v>
      </x:c>
      <x:c r="K11" s="5" t="n">
        <x:v>100813.51035594515</x:v>
      </x:c>
      <x:c r="L11" s="5" t="n">
        <x:v>187.45814627292611</x:v>
      </x:c>
      <x:c r="M11" s="5" t="n">
        <x:v>0.3158626507089396</x:v>
      </x:c>
      <x:c r="N11" s="5" t="n">
        <x:v>0</x:v>
      </x:c>
      <x:c r="O11" s="5" t="n">
        <x:v>0</x:v>
      </x:c>
      <x:c r="P11" s="5" t="n">
        <x:v>0</x:v>
      </x:c>
      <x:c r="Q11" s="2" t="n">
        <x:v>187.45814627292611</x:v>
      </x:c>
    </x:row>
    <x:row r="12" ht="20" customHeight="1">
      <x:c r="A12" s="2" t="n">
        <x:v>0</x:v>
      </x:c>
      <x:c r="B12" s="2" t="str">
        <x:v>low</x:v>
      </x:c>
      <x:c r="C12" s="2" t="n">
        <x:v>9</x:v>
      </x:c>
      <x:c r="D12" s="2" t="n">
        <x:v>9</x:v>
      </x:c>
      <x:c r="E12" s="5" t="n">
        <x:v>100813.51035594515</x:v>
      </x:c>
      <x:c r="F12" s="5" t="n">
        <x:v>0</x:v>
      </x:c>
      <x:c r="G12" s="5" t="n">
        <x:v>24601.883357923205</x:v>
      </x:c>
      <x:c r="H12" s="5" t="n">
        <x:v>1509.6589149042657</x:v>
      </x:c>
      <x:c r="I12" s="5" t="n">
        <x:v>169.58269566078306</x:v>
      </x:c>
      <x:c r="J12" s="5" t="n">
        <x:v>72.94346094715185</x:v>
      </x:c>
      <x:c r="K12" s="5" t="n">
        <x:v>76042.04430236117</x:v>
      </x:c>
      <x:c r="L12" s="5" t="n">
        <x:v>187.14281494822276</x:v>
      </x:c>
      <x:c r="M12" s="5" t="n">
        <x:v>0.315331324703361</x:v>
      </x:c>
      <x:c r="N12" s="5" t="n">
        <x:v>0</x:v>
      </x:c>
      <x:c r="O12" s="5" t="n">
        <x:v>0</x:v>
      </x:c>
      <x:c r="P12" s="5" t="n">
        <x:v>0</x:v>
      </x:c>
      <x:c r="Q12" s="2" t="n">
        <x:v>187.14281494822276</x:v>
      </x:c>
    </x:row>
    <x:row r="13" ht="20" customHeight="1">
      <x:c r="A13" s="2" t="n">
        <x:v>0</x:v>
      </x:c>
      <x:c r="B13" s="2" t="str">
        <x:v>low</x:v>
      </x:c>
      <x:c r="C13" s="2" t="n">
        <x:v>10</x:v>
      </x:c>
      <x:c r="D13" s="2" t="n">
        <x:v>10</x:v>
      </x:c>
      <x:c r="E13" s="5" t="n">
        <x:v>76042.04430236117</x:v>
      </x:c>
      <x:c r="F13" s="5" t="n">
        <x:v>0</x:v>
      </x:c>
      <x:c r="G13" s="5" t="n">
        <x:v>24928.90697529505</x:v>
      </x:c>
      <x:c r="H13" s="5" t="n">
        <x:v>1138.711961157643</x:v>
      </x:c>
      <x:c r="I13" s="5" t="n">
        <x:v>127.91355851830659</x:v>
      </x:c>
      <x:c r="J13" s="5" t="n">
        <x:v>62.87663601125473</x:v>
      </x:c>
      <x:c r="K13" s="5" t="n">
        <x:v>50985.22376854781</x:v>
      </x:c>
      <x:c r="L13" s="5" t="n">
        <x:v>186.8280140557589</x:v>
      </x:c>
      <x:c r="M13" s="5" t="n">
        <x:v>0.3148008924638657</x:v>
      </x:c>
      <x:c r="N13" s="5" t="n">
        <x:v>0</x:v>
      </x:c>
      <x:c r="O13" s="5" t="n">
        <x:v>0</x:v>
      </x:c>
      <x:c r="P13" s="5" t="n">
        <x:v>0</x:v>
      </x:c>
      <x:c r="Q13" s="2" t="n">
        <x:v>186.8280140557589</x:v>
      </x:c>
    </x:row>
    <x:row r="14" ht="20" customHeight="1">
      <x:c r="A14" s="2" t="n">
        <x:v>0</x:v>
      </x:c>
      <x:c r="B14" s="2" t="str">
        <x:v>low</x:v>
      </x:c>
      <x:c r="C14" s="2" t="n">
        <x:v>11</x:v>
      </x:c>
      <x:c r="D14" s="2" t="n">
        <x:v>11</x:v>
      </x:c>
      <x:c r="E14" s="5" t="n">
        <x:v>50985.22376854781</x:v>
      </x:c>
      <x:c r="F14" s="5" t="n">
        <x:v>0</x:v>
      </x:c>
      <x:c r="G14" s="5" t="n">
        <x:v>25260.2775950798</x:v>
      </x:c>
      <x:c r="H14" s="5" t="n">
        <x:v>763.4918903112869</x:v>
      </x:c>
      <x:c r="I14" s="5" t="n">
        <x:v>85.7644144620214</x:v>
      </x:c>
      <x:c r="J14" s="5" t="n">
        <x:v>52.69456140042995</x:v>
      </x:c>
      <x:c r="K14" s="5" t="n">
        <x:v>25639.181759005995</x:v>
      </x:c>
      <x:c r="L14" s="5" t="n">
        <x:v>186.51374270327187</x:v>
      </x:c>
      <x:c r="M14" s="5" t="n">
        <x:v>0.3142713524870119</x:v>
      </x:c>
      <x:c r="N14" s="5" t="n">
        <x:v>0</x:v>
      </x:c>
      <x:c r="O14" s="5" t="n">
        <x:v>0</x:v>
      </x:c>
      <x:c r="P14" s="5" t="n">
        <x:v>0</x:v>
      </x:c>
      <x:c r="Q14" s="2" t="n">
        <x:v>186.51374270327187</x:v>
      </x:c>
    </x:row>
    <x:row r="15" ht="20" customHeight="1">
      <x:c r="A15" s="2" t="n">
        <x:v>0</x:v>
      </x:c>
      <x:c r="B15" s="2" t="str">
        <x:v>low</x:v>
      </x:c>
      <x:c r="C15" s="2" t="n">
        <x:v>12</x:v>
      </x:c>
      <x:c r="D15" s="2" t="n">
        <x:v>12</x:v>
      </x:c>
      <x:c r="E15" s="5" t="n">
        <x:v>25639.181759005995</x:v>
      </x:c>
      <x:c r="F15" s="5" t="n">
        <x:v>0</x:v>
      </x:c>
      <x:c r="G15" s="5" t="n">
        <x:v>25596.05300035175</x:v>
      </x:c>
      <x:c r="H15" s="5" t="n">
        <x:v>383.9407950052762</x:v>
      </x:c>
      <x:c r="I15" s="5" t="n">
        <x:v>43.12875865424725</x:v>
      </x:c>
      <x:c r="J15" s="5" t="n">
        <x:v>42.395673915195765</x:v>
      </x:c>
      <x:c r="K15" s="5" t="n">
        <x:v>0</x:v>
      </x:c>
      <x:c r="L15" s="5" t="n">
        <x:v>0</x:v>
      </x:c>
      <x:c r="M15" s="5" t="n">
        <x:v>0.31374270327188647</x:v>
      </x:c>
      <x:c r="N15" s="5" t="n">
        <x:v>0</x:v>
      </x:c>
      <x:c r="O15" s="5" t="n">
        <x:v>0</x:v>
      </x:c>
      <x:c r="P15" s="5" t="n">
        <x:v>0</x:v>
      </x:c>
      <x:c r="Q15" s="2" t="n">
        <x:v>186.2</x:v>
      </x:c>
    </x:row>
    <x:row r="16" ht="20" customHeight="1">
      <x:c r="A16" s="2" t="n">
        <x:v>0</x:v>
      </x:c>
      <x:c r="B16" s="2" t="str">
        <x:v>low</x:v>
      </x:c>
      <x:c r="C16" s="2" t="n">
        <x:v>13</x:v>
      </x:c>
      <x:c r="D16" s="2" t="n">
        <x:v>13</x:v>
      </x:c>
      <x:c r="E16" s="5" t="n">
        <x:v>0</x:v>
      </x:c>
      <x:c r="F16" s="5" t="n">
        <x:v>0</x:v>
      </x:c>
      <x:c r="G16" s="5" t="n">
        <x:v>0</x:v>
      </x:c>
      <x:c r="H16" s="5" t="n">
        <x:v>0</x:v>
      </x:c>
      <x:c r="I16" s="5" t="n">
        <x:v>0</x:v>
      </x:c>
      <x:c r="J16" s="5" t="n">
        <x:v>31.978389629576647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2" t="n">
        <x:v>0</x:v>
      </x:c>
    </x:row>
    <x:row r="17" ht="20" customHeight="1">
      <x:c r="A17" s="2" t="n">
        <x:v>0</x:v>
      </x:c>
      <x:c r="B17" s="2" t="str">
        <x:v>low</x:v>
      </x:c>
      <x:c r="C17" s="2" t="n">
        <x:v>14</x:v>
      </x:c>
      <x:c r="D17" s="2" t="n">
        <x:v>14</x:v>
      </x:c>
      <x:c r="E17" s="5" t="n">
        <x:v>0</x:v>
      </x:c>
      <x:c r="F17" s="5" t="n">
        <x:v>0</x:v>
      </x:c>
      <x:c r="G17" s="5" t="n">
        <x:v>0</x:v>
      </x:c>
      <x:c r="H17" s="5" t="n">
        <x:v>0</x:v>
      </x:c>
      <x:c r="I17" s="5" t="n">
        <x:v>0</x:v>
      </x:c>
      <x:c r="J17" s="5" t="n">
        <x:v>21.44110361550535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2" t="n">
        <x:v>0</x:v>
      </x:c>
    </x:row>
    <x:row r="18" ht="20" customHeight="1">
      <x:c r="A18" s="2" t="n">
        <x:v>0</x:v>
      </x:c>
      <x:c r="B18" s="2" t="str">
        <x:v>low</x:v>
      </x:c>
      <x:c r="C18" s="2" t="n">
        <x:v>15</x:v>
      </x:c>
      <x:c r="D18" s="2" t="n">
        <x:v>15</x:v>
      </x:c>
      <x:c r="E18" s="5" t="n">
        <x:v>0</x:v>
      </x:c>
      <x:c r="F18" s="5" t="n">
        <x:v>0</x:v>
      </x:c>
      <x:c r="G18" s="5" t="n">
        <x:v>0</x:v>
      </x:c>
      <x:c r="H18" s="5" t="n">
        <x:v>0</x:v>
      </x:c>
      <x:c r="I18" s="5" t="n">
        <x:v>0</x:v>
      </x:c>
      <x:c r="J18" s="5" t="n">
        <x:v>10.782189663561812</x:v>
      </x:c>
      <x:c r="K18" s="5" t="n">
        <x:v>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2" t="n">
        <x:v>0</x:v>
      </x:c>
    </x:row>
    <x:row r="19" ht="20" customHeight="1">
      <x:c r="A19" s="2" t="n">
        <x:v>1</x:v>
      </x:c>
      <x:c r="B19" s="2" t="str">
        <x:v>low</x:v>
      </x:c>
      <x:c r="C19" s="2" t="n">
        <x:v>1</x:v>
      </x:c>
      <x:c r="D19" s="2" t="n">
        <x:v>0</x:v>
      </x:c>
      <x:c r="E19" s="5" t="n">
        <x:v>0</x:v>
      </x:c>
      <x:c r="F19" s="5" t="n">
        <x:v>261552.9</x:v>
      </x:c>
      <x:c r="G19" s="5" t="n">
        <x:v>0</x:v>
      </x:c>
      <x:c r="H19" s="5" t="n">
        <x:v>0</x:v>
      </x:c>
      <x:c r="I19" s="5" t="n">
        <x:v>0</x:v>
      </x:c>
      <x:c r="J19" s="5" t="n">
        <x:v>0</x:v>
      </x:c>
      <x:c r="K19" s="5" t="n">
        <x:v>261552.9</x:v>
      </x:c>
      <x:c r="L19" s="5" t="n">
        <x:v>172</x:v>
      </x:c>
      <x:c r="M19" s="5" t="n">
        <x:v>0</x:v>
      </x:c>
      <x:c r="N19" s="5" t="n">
        <x:v>172</x:v>
      </x:c>
      <x:c r="O19" s="5" t="n">
        <x:v>5231.058</x:v>
      </x:c>
      <x:c r="P19" s="5" t="n">
        <x:v>4300</x:v>
      </x:c>
      <x:c r="Q19" s="2" t="n">
        <x:v>0</x:v>
      </x:c>
    </x:row>
    <x:row r="20" ht="20" customHeight="1">
      <x:c r="A20" s="2" t="n">
        <x:v>1</x:v>
      </x:c>
      <x:c r="B20" s="2" t="str">
        <x:v>low</x:v>
      </x:c>
      <x:c r="C20" s="2" t="n">
        <x:v>2</x:v>
      </x:c>
      <x:c r="D20" s="2" t="n">
        <x:v>1</x:v>
      </x:c>
      <x:c r="E20" s="5" t="n">
        <x:v>261552.9</x:v>
      </x:c>
      <x:c r="F20" s="5" t="n">
        <x:v>0</x:v>
      </x:c>
      <x:c r="G20" s="5" t="n">
        <x:v>20022.137676646824</x:v>
      </x:c>
      <x:c r="H20" s="5" t="n">
        <x:v>3916.693961056764</x:v>
      </x:c>
      <x:c r="I20" s="5" t="n">
        <x:v>439.96926288242815</x:v>
      </x:c>
      <x:c r="J20" s="5" t="n">
        <x:v>0</x:v>
      </x:c>
      <x:c r="K20" s="5" t="n">
        <x:v>241090.79306047075</x:v>
      </x:c>
      <x:c r="L20" s="5" t="n">
        <x:v>171.7106714809288</x:v>
      </x:c>
      <x:c r="M20" s="5" t="n">
        <x:v>0.28932851907119994</x:v>
      </x:c>
      <x:c r="N20" s="5" t="n">
        <x:v>0</x:v>
      </x:c>
      <x:c r="O20" s="5" t="n">
        <x:v>0</x:v>
      </x:c>
      <x:c r="P20" s="5" t="n">
        <x:v>0</x:v>
      </x:c>
      <x:c r="Q20" s="2" t="n">
        <x:v>171.7106714809288</x:v>
      </x:c>
    </x:row>
    <x:row r="21" ht="20" customHeight="1">
      <x:c r="A21" s="2" t="n">
        <x:v>1</x:v>
      </x:c>
      <x:c r="B21" s="2" t="str">
        <x:v>low</x:v>
      </x:c>
      <x:c r="C21" s="2" t="n">
        <x:v>3</x:v>
      </x:c>
      <x:c r="D21" s="2" t="n">
        <x:v>2</x:v>
      </x:c>
      <x:c r="E21" s="5" t="n">
        <x:v>241090.79306047075</x:v>
      </x:c>
      <x:c r="F21" s="5" t="n">
        <x:v>0</x:v>
      </x:c>
      <x:c r="G21" s="5" t="n">
        <x:v>20288.284450667088</x:v>
      </x:c>
      <x:c r="H21" s="5" t="n">
        <x:v>3610.27865967585</x:v>
      </x:c>
      <x:c r="I21" s="5" t="n">
        <x:v>405.5490820807391</x:v>
      </x:c>
      <x:c r="J21" s="5" t="n">
        <x:v>0</x:v>
      </x:c>
      <x:c r="K21" s="5" t="n">
        <x:v>220396.9595277229</x:v>
      </x:c>
      <x:c r="L21" s="5" t="n">
        <x:v>171.42182965367124</x:v>
      </x:c>
      <x:c r="M21" s="5" t="n">
        <x:v>0.28884182725754914</x:v>
      </x:c>
      <x:c r="N21" s="5" t="n">
        <x:v>0</x:v>
      </x:c>
      <x:c r="O21" s="5" t="n">
        <x:v>0</x:v>
      </x:c>
      <x:c r="P21" s="5" t="n">
        <x:v>0</x:v>
      </x:c>
      <x:c r="Q21" s="2" t="n">
        <x:v>171.42182965367124</x:v>
      </x:c>
    </x:row>
    <x:row r="22" ht="20" customHeight="1">
      <x:c r="A22" s="2" t="n">
        <x:v>1</x:v>
      </x:c>
      <x:c r="B22" s="2" t="str">
        <x:v>low</x:v>
      </x:c>
      <x:c r="C22" s="2" t="n">
        <x:v>4</x:v>
      </x:c>
      <x:c r="D22" s="2" t="n">
        <x:v>3</x:v>
      </x:c>
      <x:c r="E22" s="5" t="n">
        <x:v>220396.9595277229</x:v>
      </x:c>
      <x:c r="F22" s="5" t="n">
        <x:v>0</x:v>
      </x:c>
      <x:c r="G22" s="5" t="n">
        <x:v>20557.969014031598</x:v>
      </x:c>
      <x:c r="H22" s="5" t="n">
        <x:v>3300.393306354104</x:v>
      </x:c>
      <x:c r="I22" s="5" t="n">
        <x:v>370.7391041159957</x:v>
      </x:c>
      <x:c r="J22" s="5" t="n">
        <x:v>0</x:v>
      </x:c>
      <x:c r="K22" s="5" t="n">
        <x:v>199468.2514095753</x:v>
      </x:c>
      <x:c r="L22" s="5" t="n">
        <x:v>171.13347369954235</x:v>
      </x:c>
      <x:c r="M22" s="5" t="n">
        <x:v>0.2883559541289082</x:v>
      </x:c>
      <x:c r="N22" s="5" t="n">
        <x:v>0</x:v>
      </x:c>
      <x:c r="O22" s="5" t="n">
        <x:v>0</x:v>
      </x:c>
      <x:c r="P22" s="5" t="n">
        <x:v>0</x:v>
      </x:c>
      <x:c r="Q22" s="2" t="n">
        <x:v>171.13347369954235</x:v>
      </x:c>
    </x:row>
    <x:row r="23" ht="20" customHeight="1">
      <x:c r="A23" s="2" t="n">
        <x:v>1</x:v>
      </x:c>
      <x:c r="B23" s="2" t="str">
        <x:v>low</x:v>
      </x:c>
      <x:c r="C23" s="2" t="n">
        <x:v>5</x:v>
      </x:c>
      <x:c r="D23" s="2" t="n">
        <x:v>4</x:v>
      </x:c>
      <x:c r="E23" s="5" t="n">
        <x:v>199468.2514095753</x:v>
      </x:c>
      <x:c r="F23" s="5" t="n">
        <x:v>0</x:v>
      </x:c>
      <x:c r="G23" s="5" t="n">
        <x:v>20831.23839324852</x:v>
      </x:c>
      <x:c r="H23" s="5" t="n">
        <x:v>2986.990760639381</x:v>
      </x:c>
      <x:c r="I23" s="5" t="n">
        <x:v>335.5340336165943</x:v>
      </x:c>
      <x:c r="J23" s="5" t="n">
        <x:v>109.99231572060704</x:v>
      </x:c>
      <x:c r="K23" s="5" t="n">
        <x:v>178301.47898271022</x:v>
      </x:c>
      <x:c r="L23" s="5" t="n">
        <x:v>170.8456028012342</x:v>
      </x:c>
      <x:c r="M23" s="5" t="n">
        <x:v>0.2878708983081321</x:v>
      </x:c>
      <x:c r="N23" s="5" t="n">
        <x:v>0</x:v>
      </x:c>
      <x:c r="O23" s="5" t="n">
        <x:v>0</x:v>
      </x:c>
      <x:c r="P23" s="5" t="n">
        <x:v>0</x:v>
      </x:c>
      <x:c r="Q23" s="2" t="n">
        <x:v>170.8456028012342</x:v>
      </x:c>
    </x:row>
    <x:row r="24" ht="20" customHeight="1">
      <x:c r="A24" s="2" t="n">
        <x:v>1</x:v>
      </x:c>
      <x:c r="B24" s="2" t="str">
        <x:v>low</x:v>
      </x:c>
      <x:c r="C24" s="2" t="n">
        <x:v>6</x:v>
      </x:c>
      <x:c r="D24" s="2" t="n">
        <x:v>5</x:v>
      </x:c>
      <x:c r="E24" s="5" t="n">
        <x:v>178301.47898271022</x:v>
      </x:c>
      <x:c r="F24" s="5" t="n">
        <x:v>0</x:v>
      </x:c>
      <x:c r="G24" s="5" t="n">
        <x:v>21108.140239931792</x:v>
      </x:c>
      <x:c r="H24" s="5" t="n">
        <x:v>2670.023257165455</x:v>
      </x:c>
      <x:c r="I24" s="5" t="n">
        <x:v>299.9285050132106</x:v>
      </x:c>
      <x:c r="J24" s="5" t="n">
        <x:v>101.38727052018477</x:v>
      </x:c>
      <x:c r="K24" s="5" t="n">
        <x:v>156893.4102377652</x:v>
      </x:c>
      <x:c r="L24" s="5" t="n">
        <x:v>170.55821614281382</x:v>
      </x:c>
      <x:c r="M24" s="5" t="n">
        <x:v>0.2873866584203927</x:v>
      </x:c>
      <x:c r="N24" s="5" t="n">
        <x:v>0</x:v>
      </x:c>
      <x:c r="O24" s="5" t="n">
        <x:v>0</x:v>
      </x:c>
      <x:c r="P24" s="5" t="n">
        <x:v>0</x:v>
      </x:c>
      <x:c r="Q24" s="2" t="n">
        <x:v>170.55821614281382</x:v>
      </x:c>
    </x:row>
    <x:row r="25" ht="20" customHeight="1">
      <x:c r="A25" s="2" t="n">
        <x:v>1</x:v>
      </x:c>
      <x:c r="B25" s="2" t="str">
        <x:v>low</x:v>
      </x:c>
      <x:c r="C25" s="2" t="n">
        <x:v>7</x:v>
      </x:c>
      <x:c r="D25" s="2" t="n">
        <x:v>6</x:v>
      </x:c>
      <x:c r="E25" s="5" t="n">
        <x:v>156893.4102377652</x:v>
      </x:c>
      <x:c r="F25" s="5" t="n">
        <x:v>0</x:v>
      </x:c>
      <x:c r="G25" s="5" t="n">
        <x:v>21388.72283911038</x:v>
      </x:c>
      <x:c r="H25" s="5" t="n">
        <x:v>2349.4423973423977</x:v>
      </x:c>
      <x:c r="I25" s="5" t="n">
        <x:v>263.91708160536535</x:v>
      </x:c>
      <x:c r="J25" s="5" t="n">
        <x:v>92.68477602899893</x:v>
      </x:c>
      <x:c r="K25" s="5" t="n">
        <x:v>135240.77031704946</x:v>
      </x:c>
      <x:c r="L25" s="5" t="n">
        <x:v>170.27131290972065</x:v>
      </x:c>
      <x:c r="M25" s="5" t="n">
        <x:v>0.2869032330931741</x:v>
      </x:c>
      <x:c r="N25" s="5" t="n">
        <x:v>0</x:v>
      </x:c>
      <x:c r="O25" s="5" t="n">
        <x:v>0</x:v>
      </x:c>
      <x:c r="P25" s="5" t="n">
        <x:v>0</x:v>
      </x:c>
      <x:c r="Q25" s="2" t="n">
        <x:v>170.27131290972065</x:v>
      </x:c>
    </x:row>
    <x:row r="26" ht="20" customHeight="1">
      <x:c r="A26" s="2" t="n">
        <x:v>1</x:v>
      </x:c>
      <x:c r="B26" s="2" t="str">
        <x:v>low</x:v>
      </x:c>
      <x:c r="C26" s="2" t="n">
        <x:v>8</x:v>
      </x:c>
      <x:c r="D26" s="2" t="n">
        <x:v>7</x:v>
      </x:c>
      <x:c r="E26" s="5" t="n">
        <x:v>135240.77031704946</x:v>
      </x:c>
      <x:c r="F26" s="5" t="n">
        <x:v>0</x:v>
      </x:c>
      <x:c r="G26" s="5" t="n">
        <x:v>21673.035117648073</x:v>
      </x:c>
      <x:c r="H26" s="5" t="n">
        <x:v>2025.1991409365082</x:v>
      </x:c>
      <x:c r="I26" s="5" t="n">
        <x:v>227.49425461558263</x:v>
      </x:c>
      <x:c r="J26" s="5" t="n">
        <x:v>83.88350840414857</x:v>
      </x:c>
      <x:c r="K26" s="5" t="n">
        <x:v>113340.24094478581</x:v>
      </x:c>
      <x:c r="L26" s="5" t="n">
        <x:v>169.98489228876437</x:v>
      </x:c>
      <x:c r="M26" s="5" t="n">
        <x:v>0.2864206209562695</x:v>
      </x:c>
      <x:c r="N26" s="5" t="n">
        <x:v>0</x:v>
      </x:c>
      <x:c r="O26" s="5" t="n">
        <x:v>0</x:v>
      </x:c>
      <x:c r="P26" s="5" t="n">
        <x:v>0</x:v>
      </x:c>
      <x:c r="Q26" s="2" t="n">
        <x:v>169.98489228876437</x:v>
      </x:c>
    </x:row>
    <x:row r="27" ht="20" customHeight="1">
      <x:c r="A27" s="2" t="n">
        <x:v>1</x:v>
      </x:c>
      <x:c r="B27" s="2" t="str">
        <x:v>low</x:v>
      </x:c>
      <x:c r="C27" s="2" t="n">
        <x:v>9</x:v>
      </x:c>
      <x:c r="D27" s="2" t="n">
        <x:v>8</x:v>
      </x:c>
      <x:c r="E27" s="5" t="n">
        <x:v>113340.24094478581</x:v>
      </x:c>
      <x:c r="F27" s="5" t="n">
        <x:v>0</x:v>
      </x:c>
      <x:c r="G27" s="5" t="n">
        <x:v>21961.126652775103</x:v>
      </x:c>
      <x:c r="H27" s="5" t="n">
        <x:v>1697.2437975383225</x:v>
      </x:c>
      <x:c r="I27" s="5" t="n">
        <x:v>190.6544422309759</x:v>
      </x:c>
      <x:c r="J27" s="5" t="n">
        <x:v>74.98212625330265</x:v>
      </x:c>
      <x:c r="K27" s="5" t="n">
        <x:v>91188.45984977973</x:v>
      </x:c>
      <x:c r="L27" s="5" t="n">
        <x:v>169.6989534681226</x:v>
      </x:c>
      <x:c r="M27" s="5" t="n">
        <x:v>0.2859388206417769</x:v>
      </x:c>
      <x:c r="N27" s="5" t="n">
        <x:v>0</x:v>
      </x:c>
      <x:c r="O27" s="5" t="n">
        <x:v>0</x:v>
      </x:c>
      <x:c r="P27" s="5" t="n">
        <x:v>0</x:v>
      </x:c>
      <x:c r="Q27" s="2" t="n">
        <x:v>169.6989534681226</x:v>
      </x:c>
    </x:row>
    <x:row r="28" ht="20" customHeight="1">
      <x:c r="A28" s="2" t="n">
        <x:v>1</x:v>
      </x:c>
      <x:c r="B28" s="2" t="str">
        <x:v>low</x:v>
      </x:c>
      <x:c r="C28" s="2" t="n">
        <x:v>10</x:v>
      </x:c>
      <x:c r="D28" s="2" t="n">
        <x:v>9</x:v>
      </x:c>
      <x:c r="E28" s="5" t="n">
        <x:v>91188.45984977973</x:v>
      </x:c>
      <x:c r="F28" s="5" t="n">
        <x:v>0</x:v>
      </x:c>
      <x:c r="G28" s="5" t="n">
        <x:v>22253.047680733263</x:v>
      </x:c>
      <x:c r="H28" s="5" t="n">
        <x:v>1365.5260179172144</x:v>
      </x:c>
      <x:c r="I28" s="5" t="n">
        <x:v>153.391988632095</x:v>
      </x:c>
      <x:c r="J28" s="5" t="n">
        <x:v>65.97927040134134</x:v>
      </x:c>
      <x:c r="K28" s="5" t="n">
        <x:v>68782.02018041437</x:v>
      </x:c>
      <x:c r="L28" s="5" t="n">
        <x:v>169.4134956373385</x:v>
      </x:c>
      <x:c r="M28" s="5" t="n">
        <x:v>0.2854578307840952</x:v>
      </x:c>
      <x:c r="N28" s="5" t="n">
        <x:v>0</x:v>
      </x:c>
      <x:c r="O28" s="5" t="n">
        <x:v>0</x:v>
      </x:c>
      <x:c r="P28" s="5" t="n">
        <x:v>0</x:v>
      </x:c>
      <x:c r="Q28" s="2" t="n">
        <x:v>169.4134956373385</x:v>
      </x:c>
    </x:row>
    <x:row r="29" ht="20" customHeight="1">
      <x:c r="A29" s="2" t="n">
        <x:v>1</x:v>
      </x:c>
      <x:c r="B29" s="2" t="str">
        <x:v>low</x:v>
      </x:c>
      <x:c r="C29" s="2" t="n">
        <x:v>11</x:v>
      </x:c>
      <x:c r="D29" s="2" t="n">
        <x:v>10</x:v>
      </x:c>
      <x:c r="E29" s="5" t="n">
        <x:v>68782.02018041437</x:v>
      </x:c>
      <x:c r="F29" s="5" t="n">
        <x:v>0</x:v>
      </x:c>
      <x:c r="G29" s="5" t="n">
        <x:v>22548.849105535883</x:v>
      </x:c>
      <x:c r="H29" s="5" t="n">
        <x:v>1029.9947852610826</x:v>
      </x:c>
      <x:c r="I29" s="5" t="n">
        <x:v>115.7011630088644</x:v>
      </x:c>
      <x:c r="J29" s="5" t="n">
        <x:v>56.87356365389566</x:v>
      </x:c>
      <x:c r="K29" s="5" t="n">
        <x:v>46117.46991186962</x:v>
      </x:c>
      <x:c r="L29" s="5" t="n">
        <x:v>169.1285179873186</x:v>
      </x:c>
      <x:c r="M29" s="5" t="n">
        <x:v>0.28497765001992054</x:v>
      </x:c>
      <x:c r="N29" s="5" t="n">
        <x:v>0</x:v>
      </x:c>
      <x:c r="O29" s="5" t="n">
        <x:v>0</x:v>
      </x:c>
      <x:c r="P29" s="5" t="n">
        <x:v>0</x:v>
      </x:c>
      <x:c r="Q29" s="2" t="n">
        <x:v>169.1285179873186</x:v>
      </x:c>
    </x:row>
    <x:row r="30" ht="20" customHeight="1">
      <x:c r="A30" s="2" t="n">
        <x:v>1</x:v>
      </x:c>
      <x:c r="B30" s="2" t="str">
        <x:v>low</x:v>
      </x:c>
      <x:c r="C30" s="2" t="n">
        <x:v>12</x:v>
      </x:c>
      <x:c r="D30" s="2" t="n">
        <x:v>11</x:v>
      </x:c>
      <x:c r="E30" s="5" t="n">
        <x:v>46117.46991186962</x:v>
      </x:c>
      <x:c r="F30" s="5" t="n">
        <x:v>0</x:v>
      </x:c>
      <x:c r="G30" s="5" t="n">
        <x:v>22848.582507844258</x:v>
      </x:c>
      <x:c r="H30" s="5" t="n">
        <x:v>690.5984062995927</x:v>
      </x:c>
      <x:c r="I30" s="5" t="n">
        <x:v>77.57615856344104</x:v>
      </x:c>
      <x:c r="J30" s="5" t="n">
        <x:v>47.66361055774397</x:v>
      </x:c>
      <x:c r="K30" s="5" t="n">
        <x:v>23191.311245461922</x:v>
      </x:c>
      <x:c r="L30" s="5" t="n">
        <x:v>168.84401971033034</x:v>
      </x:c>
      <x:c r="M30" s="5" t="n">
        <x:v>0.2844982769882423</x:v>
      </x:c>
      <x:c r="N30" s="5" t="n">
        <x:v>0</x:v>
      </x:c>
      <x:c r="O30" s="5" t="n">
        <x:v>0</x:v>
      </x:c>
      <x:c r="P30" s="5" t="n">
        <x:v>0</x:v>
      </x:c>
      <x:c r="Q30" s="2" t="n">
        <x:v>168.84401971033034</x:v>
      </x:c>
    </x:row>
    <x:row r="31" ht="20" customHeight="1">
      <x:c r="A31" s="2" t="n">
        <x:v>1</x:v>
      </x:c>
      <x:c r="B31" s="2" t="str">
        <x:v>low</x:v>
      </x:c>
      <x:c r="C31" s="2" t="n">
        <x:v>13</x:v>
      </x:c>
      <x:c r="D31" s="2" t="n">
        <x:v>12</x:v>
      </x:c>
      <x:c r="E31" s="5" t="n">
        <x:v>23191.311245461922</x:v>
      </x:c>
      <x:c r="F31" s="5" t="n">
        <x:v>0</x:v>
      </x:c>
      <x:c r="G31" s="5" t="n">
        <x:v>23152.300153962104</x:v>
      </x:c>
      <x:c r="H31" s="5" t="n">
        <x:v>347.28450230943156</x:v>
      </x:c>
      <x:c r="I31" s="5" t="n">
        <x:v>39.01109149981839</x:v>
      </x:c>
      <x:c r="J31" s="5" t="n">
        <x:v>38.34799715802375</x:v>
      </x:c>
      <x:c r="K31" s="5" t="n">
        <x:v>0</x:v>
      </x:c>
      <x:c r="L31" s="5" t="n">
        <x:v>0</x:v>
      </x:c>
      <x:c r="M31" s="5" t="n">
        <x:v>0.28401971033033935</x:v>
      </x:c>
      <x:c r="N31" s="5" t="n">
        <x:v>0</x:v>
      </x:c>
      <x:c r="O31" s="5" t="n">
        <x:v>0</x:v>
      </x:c>
      <x:c r="P31" s="5" t="n">
        <x:v>0</x:v>
      </x:c>
      <x:c r="Q31" s="2" t="n">
        <x:v>168.56</x:v>
      </x:c>
    </x:row>
    <x:row r="32" ht="20" customHeight="1">
      <x:c r="A32" s="2" t="n">
        <x:v>1</x:v>
      </x:c>
      <x:c r="B32" s="2" t="str">
        <x:v>low</x:v>
      </x:c>
      <x:c r="C32" s="2" t="n">
        <x:v>14</x:v>
      </x:c>
      <x:c r="D32" s="2" t="n">
        <x:v>13</x:v>
      </x:c>
      <x:c r="E32" s="5" t="n">
        <x:v>0</x:v>
      </x:c>
      <x:c r="F32" s="5" t="n">
        <x:v>0</x:v>
      </x:c>
      <x:c r="G32" s="5" t="n">
        <x:v>0</x:v>
      </x:c>
      <x:c r="H32" s="5" t="n">
        <x:v>0</x:v>
      </x:c>
      <x:c r="I32" s="5" t="n">
        <x:v>0</x:v>
      </x:c>
      <x:c r="J32" s="5" t="n">
        <x:v>28.9252907522161</x:v>
      </x:c>
      <x:c r="K32" s="5" t="n">
        <x:v>0</x:v>
      </x:c>
      <x:c r="L32" s="5" t="n">
        <x:v>0</x:v>
      </x:c>
      <x:c r="M32" s="5" t="n">
        <x:v>0</x:v>
      </x:c>
      <x:c r="N32" s="5" t="n">
        <x:v>0</x:v>
      </x:c>
      <x:c r="O32" s="5" t="n">
        <x:v>0</x:v>
      </x:c>
      <x:c r="P32" s="5" t="n">
        <x:v>0</x:v>
      </x:c>
      <x:c r="Q32" s="2" t="n">
        <x:v>0</x:v>
      </x:c>
    </x:row>
    <x:row r="33" ht="20" customHeight="1">
      <x:c r="A33" s="2" t="n">
        <x:v>1</x:v>
      </x:c>
      <x:c r="B33" s="2" t="str">
        <x:v>low</x:v>
      </x:c>
      <x:c r="C33" s="2" t="n">
        <x:v>15</x:v>
      </x:c>
      <x:c r="D33" s="2" t="n">
        <x:v>14</x:v>
      </x:c>
      <x:c r="E33" s="5" t="n">
        <x:v>0</x:v>
      </x:c>
      <x:c r="F33" s="5" t="n">
        <x:v>0</x:v>
      </x:c>
      <x:c r="G33" s="5" t="n">
        <x:v>0</x:v>
      </x:c>
      <x:c r="H33" s="5" t="n">
        <x:v>0</x:v>
      </x:c>
      <x:c r="I33" s="5" t="n">
        <x:v>0</x:v>
      </x:c>
      <x:c r="J33" s="5" t="n">
        <x:v>19.39403964086026</x:v>
      </x:c>
      <x:c r="K33" s="5" t="n">
        <x:v>0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2" t="n">
        <x:v>0</x:v>
      </x:c>
    </x:row>
    <x:row r="34" ht="20" customHeight="1">
      <x:c r="A34" s="2" t="n">
        <x:v>1</x:v>
      </x:c>
      <x:c r="B34" s="2" t="str">
        <x:v>low</x:v>
      </x:c>
      <x:c r="C34" s="2" t="n">
        <x:v>16</x:v>
      </x:c>
      <x:c r="D34" s="2" t="n">
        <x:v>15</x:v>
      </x:c>
      <x:c r="E34" s="5" t="n">
        <x:v>0</x:v>
      </x:c>
      <x:c r="F34" s="5" t="n">
        <x:v>0</x:v>
      </x:c>
      <x:c r="G34" s="5" t="n">
        <x:v>0</x:v>
      </x:c>
      <x:c r="H34" s="5" t="n">
        <x:v>0</x:v>
      </x:c>
      <x:c r="I34" s="5" t="n">
        <x:v>0</x:v>
      </x:c>
      <x:c r="J34" s="5" t="n">
        <x:v>9.752772874954598</x:v>
      </x:c>
      <x:c r="K34" s="5" t="n">
        <x:v>0</x:v>
      </x:c>
      <x:c r="L34" s="5" t="n">
        <x:v>0</x:v>
      </x:c>
      <x:c r="M34" s="5" t="n">
        <x:v>0</x:v>
      </x:c>
      <x:c r="N34" s="5" t="n">
        <x:v>0</x:v>
      </x:c>
      <x:c r="O34" s="5" t="n">
        <x:v>0</x:v>
      </x:c>
      <x:c r="P34" s="5" t="n">
        <x:v>0</x:v>
      </x:c>
      <x:c r="Q34" s="2" t="n">
        <x:v>0</x:v>
      </x:c>
    </x:row>
    <x:row r="35" ht="20" customHeight="1">
      <x:c r="A35" s="2" t="n">
        <x:v>2</x:v>
      </x:c>
      <x:c r="B35" s="2" t="str">
        <x:v>low</x:v>
      </x:c>
      <x:c r="C35" s="2" t="n">
        <x:v>2</x:v>
      </x:c>
      <x:c r="D35" s="2" t="n">
        <x:v>0</x:v>
      </x:c>
      <x:c r="E35" s="5" t="n">
        <x:v>0</x:v>
      </x:c>
      <x:c r="F35" s="5" t="n">
        <x:v>263220.37</x:v>
      </x:c>
      <x:c r="G35" s="5" t="n">
        <x:v>0</x:v>
      </x:c>
      <x:c r="H35" s="5" t="n">
        <x:v>0</x:v>
      </x:c>
      <x:c r="I35" s="5" t="n">
        <x:v>0</x:v>
      </x:c>
      <x:c r="J35" s="5" t="n">
        <x:v>0</x:v>
      </x:c>
      <x:c r="K35" s="5" t="n">
        <x:v>263220.37</x:v>
      </x:c>
      <x:c r="L35" s="5" t="n">
        <x:v>174</x:v>
      </x:c>
      <x:c r="M35" s="5" t="n">
        <x:v>0</x:v>
      </x:c>
      <x:c r="N35" s="5" t="n">
        <x:v>174</x:v>
      </x:c>
      <x:c r="O35" s="5" t="n">
        <x:v>5264.4074</x:v>
      </x:c>
      <x:c r="P35" s="5" t="n">
        <x:v>4350</x:v>
      </x:c>
      <x:c r="Q35" s="2" t="n">
        <x:v>0</x:v>
      </x:c>
    </x:row>
    <x:row r="36" ht="20" customHeight="1">
      <x:c r="A36" s="2" t="n">
        <x:v>2</x:v>
      </x:c>
      <x:c r="B36" s="2" t="str">
        <x:v>low</x:v>
      </x:c>
      <x:c r="C36" s="2" t="n">
        <x:v>3</x:v>
      </x:c>
      <x:c r="D36" s="2" t="n">
        <x:v>1</x:v>
      </x:c>
      <x:c r="E36" s="5" t="n">
        <x:v>263220.37</x:v>
      </x:c>
      <x:c r="F36" s="5" t="n">
        <x:v>0</x:v>
      </x:c>
      <x:c r="G36" s="5" t="n">
        <x:v>20149.784183000524</x:v>
      </x:c>
      <x:c r="H36" s="5" t="n">
        <x:v>3941.6639372231275</x:v>
      </x:c>
      <x:c r="I36" s="5" t="n">
        <x:v>442.77418512484473</x:v>
      </x:c>
      <x:c r="J36" s="5" t="n">
        <x:v>0</x:v>
      </x:c>
      <x:c r="K36" s="5" t="n">
        <x:v>242627.81163187462</x:v>
      </x:c>
      <x:c r="L36" s="5" t="n">
        <x:v>173.70730719582332</x:v>
      </x:c>
      <x:c r="M36" s="5" t="n">
        <x:v>0.292692804176679</x:v>
      </x:c>
      <x:c r="N36" s="5" t="n">
        <x:v>0</x:v>
      </x:c>
      <x:c r="O36" s="5" t="n">
        <x:v>0</x:v>
      </x:c>
      <x:c r="P36" s="5" t="n">
        <x:v>0</x:v>
      </x:c>
      <x:c r="Q36" s="2" t="n">
        <x:v>173.70730719582332</x:v>
      </x:c>
    </x:row>
    <x:row r="37" ht="20" customHeight="1">
      <x:c r="A37" s="2" t="n">
        <x:v>2</x:v>
      </x:c>
      <x:c r="B37" s="2" t="str">
        <x:v>low</x:v>
      </x:c>
      <x:c r="C37" s="2" t="n">
        <x:v>4</x:v>
      </x:c>
      <x:c r="D37" s="2" t="n">
        <x:v>2</x:v>
      </x:c>
      <x:c r="E37" s="5" t="n">
        <x:v>242627.81163187462</x:v>
      </x:c>
      <x:c r="F37" s="5" t="n">
        <x:v>0</x:v>
      </x:c>
      <x:c r="G37" s="5" t="n">
        <x:v>20417.627714201746</x:v>
      </x:c>
      <x:c r="H37" s="5" t="n">
        <x:v>3633.295155981759</x:v>
      </x:c>
      <x:c r="I37" s="5" t="n">
        <x:v>408.1345664240485</x:v>
      </x:c>
      <x:c r="J37" s="5" t="n">
        <x:v>0</x:v>
      </x:c>
      <x:c r="K37" s="5" t="n">
        <x:v>221802.04935124883</x:v>
      </x:c>
      <x:c r="L37" s="5" t="n">
        <x:v>173.41510674266743</x:v>
      </x:c>
      <x:c r="M37" s="5" t="n">
        <x:v>0.2922004531558927</x:v>
      </x:c>
      <x:c r="N37" s="5" t="n">
        <x:v>0</x:v>
      </x:c>
      <x:c r="O37" s="5" t="n">
        <x:v>0</x:v>
      </x:c>
      <x:c r="P37" s="5" t="n">
        <x:v>0</x:v>
      </x:c>
      <x:c r="Q37" s="2" t="n">
        <x:v>173.41510674266743</x:v>
      </x:c>
    </x:row>
    <x:row r="38" ht="20" customHeight="1">
      <x:c r="A38" s="2" t="n">
        <x:v>2</x:v>
      </x:c>
      <x:c r="B38" s="2" t="str">
        <x:v>low</x:v>
      </x:c>
      <x:c r="C38" s="2" t="n">
        <x:v>5</x:v>
      </x:c>
      <x:c r="D38" s="2" t="n">
        <x:v>3</x:v>
      </x:c>
      <x:c r="E38" s="5" t="n">
        <x:v>221802.04935124883</x:v>
      </x:c>
      <x:c r="F38" s="5" t="n">
        <x:v>0</x:v>
      </x:c>
      <x:c r="G38" s="5" t="n">
        <x:v>20689.03158910466</x:v>
      </x:c>
      <x:c r="H38" s="5" t="n">
        <x:v>3321.434200286254</x:v>
      </x:c>
      <x:c r="I38" s="5" t="n">
        <x:v>373.10266549856993</x:v>
      </x:c>
      <x:c r="J38" s="5" t="n">
        <x:v>0</x:v>
      </x:c>
      <x:c r="K38" s="5" t="n">
        <x:v>200739.91509664562</x:v>
      </x:c>
      <x:c r="L38" s="5" t="n">
        <x:v>173.1233978123277</x:v>
      </x:c>
      <x:c r="M38" s="5" t="n">
        <x:v>0.2917089303397094</x:v>
      </x:c>
      <x:c r="N38" s="5" t="n">
        <x:v>0</x:v>
      </x:c>
      <x:c r="O38" s="5" t="n">
        <x:v>0</x:v>
      </x:c>
      <x:c r="P38" s="5" t="n">
        <x:v>0</x:v>
      </x:c>
      <x:c r="Q38" s="2" t="n">
        <x:v>173.1233978123277</x:v>
      </x:c>
    </x:row>
    <x:row r="39" ht="20" customHeight="1">
      <x:c r="A39" s="2" t="n">
        <x:v>2</x:v>
      </x:c>
      <x:c r="B39" s="2" t="str">
        <x:v>low</x:v>
      </x:c>
      <x:c r="C39" s="2" t="n">
        <x:v>6</x:v>
      </x:c>
      <x:c r="D39" s="2" t="n">
        <x:v>4</x:v>
      </x:c>
      <x:c r="E39" s="5" t="n">
        <x:v>200739.91509664562</x:v>
      </x:c>
      <x:c r="F39" s="5" t="n">
        <x:v>0</x:v>
      </x:c>
      <x:c r="G39" s="5" t="n">
        <x:v>20964.043134024058</x:v>
      </x:c>
      <x:c r="H39" s="5" t="n">
        <x:v>3006.033629151423</x:v>
      </x:c>
      <x:c r="I39" s="5" t="n">
        <x:v>337.67315321738886</x:v>
      </x:c>
      <x:c r="J39" s="5" t="n">
        <x:v>110.69354628121118</x:v>
      </x:c>
      <x:c r="K39" s="5" t="n">
        <x:v>179438.19880940416</x:v>
      </x:c>
      <x:c r="L39" s="5" t="n">
        <x:v>172.83217957799275</x:v>
      </x:c>
      <x:c r="M39" s="5" t="n">
        <x:v>0.29121823433497085</x:v>
      </x:c>
      <x:c r="N39" s="5" t="n">
        <x:v>0</x:v>
      </x:c>
      <x:c r="O39" s="5" t="n">
        <x:v>0</x:v>
      </x:c>
      <x:c r="P39" s="5" t="n">
        <x:v>0</x:v>
      </x:c>
      <x:c r="Q39" s="2" t="n">
        <x:v>172.83217957799275</x:v>
      </x:c>
    </x:row>
    <x:row r="40" ht="20" customHeight="1">
      <x:c r="A40" s="2" t="n">
        <x:v>2</x:v>
      </x:c>
      <x:c r="B40" s="2" t="str">
        <x:v>low</x:v>
      </x:c>
      <x:c r="C40" s="2" t="n">
        <x:v>7</x:v>
      </x:c>
      <x:c r="D40" s="2" t="n">
        <x:v>5</x:v>
      </x:c>
      <x:c r="E40" s="5" t="n">
        <x:v>179438.19880940416</x:v>
      </x:c>
      <x:c r="F40" s="5" t="n">
        <x:v>0</x:v>
      </x:c>
      <x:c r="G40" s="5" t="n">
        <x:v>21242.71030436571</x:v>
      </x:c>
      <x:c r="H40" s="5" t="n">
        <x:v>2687.045372693999</x:v>
      </x:c>
      <x:c r="I40" s="5" t="n">
        <x:v>301.8406298042352</x:v>
      </x:c>
      <x:c r="J40" s="5" t="n">
        <x:v>102.03364160601213</x:v>
      </x:c>
      <x:c r="K40" s="5" t="n">
        <x:v>157893.64787523422</x:v>
      </x:c>
      <x:c r="L40" s="5" t="n">
        <x:v>172.54145121424187</x:v>
      </x:c>
      <x:c r="M40" s="5" t="n">
        <x:v>0.29072836375086236</x:v>
      </x:c>
      <x:c r="N40" s="5" t="n">
        <x:v>0</x:v>
      </x:c>
      <x:c r="O40" s="5" t="n">
        <x:v>0</x:v>
      </x:c>
      <x:c r="P40" s="5" t="n">
        <x:v>0</x:v>
      </x:c>
      <x:c r="Q40" s="2" t="n">
        <x:v>172.54145121424187</x:v>
      </x:c>
    </x:row>
    <x:row r="41" ht="20" customHeight="1">
      <x:c r="A41" s="2" t="n">
        <x:v>2</x:v>
      </x:c>
      <x:c r="B41" s="2" t="str">
        <x:v>low</x:v>
      </x:c>
      <x:c r="C41" s="2" t="n">
        <x:v>8</x:v>
      </x:c>
      <x:c r="D41" s="2" t="n">
        <x:v>6</x:v>
      </x:c>
      <x:c r="E41" s="5" t="n">
        <x:v>157893.64787523422</x:v>
      </x:c>
      <x:c r="F41" s="5" t="n">
        <x:v>0</x:v>
      </x:c>
      <x:c r="G41" s="5" t="n">
        <x:v>21525.081692988628</x:v>
      </x:c>
      <x:c r="H41" s="5" t="n">
        <x:v>2364.4207237700402</x:v>
      </x:c>
      <x:c r="I41" s="5" t="n">
        <x:v>265.5996238982036</x:v>
      </x:c>
      <x:c r="J41" s="5" t="n">
        <x:v>93.27566637464248</x:v>
      </x:c>
      <x:c r="K41" s="5" t="n">
        <x:v>136102.96655834737</x:v>
      </x:c>
      <x:c r="L41" s="5" t="n">
        <x:v>172.25121189704296</x:v>
      </x:c>
      <x:c r="M41" s="5" t="n">
        <x:v>0.29023931719890866</x:v>
      </x:c>
      <x:c r="N41" s="5" t="n">
        <x:v>0</x:v>
      </x:c>
      <x:c r="O41" s="5" t="n">
        <x:v>0</x:v>
      </x:c>
      <x:c r="P41" s="5" t="n">
        <x:v>0</x:v>
      </x:c>
      <x:c r="Q41" s="2" t="n">
        <x:v>172.25121189704296</x:v>
      </x:c>
    </x:row>
    <x:row r="42" ht="20" customHeight="1">
      <x:c r="A42" s="2" t="n">
        <x:v>2</x:v>
      </x:c>
      <x:c r="B42" s="2" t="str">
        <x:v>low</x:v>
      </x:c>
      <x:c r="C42" s="2" t="n">
        <x:v>9</x:v>
      </x:c>
      <x:c r="D42" s="2" t="n">
        <x:v>7</x:v>
      </x:c>
      <x:c r="E42" s="5" t="n">
        <x:v>136102.96655834737</x:v>
      </x:c>
      <x:c r="F42" s="5" t="n">
        <x:v>0</x:v>
      </x:c>
      <x:c r="G42" s="5" t="n">
        <x:v>21811.20653867848</x:v>
      </x:c>
      <x:c r="H42" s="5" t="n">
        <x:v>2038.1103295011824</x:v>
      </x:c>
      <x:c r="I42" s="5" t="n">
        <x:v>228.94459160188194</x:v>
      </x:c>
      <x:c r="J42" s="5" t="n">
        <x:v>84.41828830434721</x:v>
      </x:c>
      <x:c r="K42" s="5" t="n">
        <x:v>114062.81542806701</x:v>
      </x:c>
      <x:c r="L42" s="5" t="n">
        <x:v>171.96146080375001</x:v>
      </x:c>
      <x:c r="M42" s="5" t="n">
        <x:v>0.28975109329297033</x:v>
      </x:c>
      <x:c r="N42" s="5" t="n">
        <x:v>0</x:v>
      </x:c>
      <x:c r="O42" s="5" t="n">
        <x:v>0</x:v>
      </x:c>
      <x:c r="P42" s="5" t="n">
        <x:v>0</x:v>
      </x:c>
      <x:c r="Q42" s="2" t="n">
        <x:v>171.96146080375001</x:v>
      </x:c>
    </x:row>
    <x:row r="43" ht="20" customHeight="1">
      <x:c r="A43" s="2" t="n">
        <x:v>2</x:v>
      </x:c>
      <x:c r="B43" s="2" t="str">
        <x:v>low</x:v>
      </x:c>
      <x:c r="C43" s="2" t="n">
        <x:v>10</x:v>
      </x:c>
      <x:c r="D43" s="2" t="n">
        <x:v>8</x:v>
      </x:c>
      <x:c r="E43" s="5" t="n">
        <x:v>114062.81542806701</x:v>
      </x:c>
      <x:c r="F43" s="5" t="n">
        <x:v>0</x:v>
      </x:c>
      <x:c r="G43" s="5" t="n">
        <x:v>22101.134734733678</x:v>
      </x:c>
      <x:c r="H43" s="5" t="n">
        <x:v>1708.064182688253</x:v>
      </x:c>
      <x:c r="I43" s="5" t="n">
        <x:v>191.869915516827</x:v>
      </x:c>
      <x:c r="J43" s="5" t="n">
        <x:v>75.4601574510588</x:v>
      </x:c>
      <x:c r="K43" s="5" t="n">
        <x:v>91769.81077781651</x:v>
      </x:c>
      <x:c r="L43" s="5" t="n">
        <x:v>171.67219711310076</x:v>
      </x:c>
      <x:c r="M43" s="5" t="n">
        <x:v>0.2892636906492394</x:v>
      </x:c>
      <x:c r="N43" s="5" t="n">
        <x:v>0</x:v>
      </x:c>
      <x:c r="O43" s="5" t="n">
        <x:v>0</x:v>
      </x:c>
      <x:c r="P43" s="5" t="n">
        <x:v>0</x:v>
      </x:c>
      <x:c r="Q43" s="2" t="n">
        <x:v>171.67219711310076</x:v>
      </x:c>
    </x:row>
    <x:row r="44" ht="20" customHeight="1">
      <x:c r="A44" s="2" t="n">
        <x:v>2</x:v>
      </x:c>
      <x:c r="B44" s="2" t="str">
        <x:v>low</x:v>
      </x:c>
      <x:c r="C44" s="2" t="n">
        <x:v>11</x:v>
      </x:c>
      <x:c r="D44" s="2" t="n">
        <x:v>9</x:v>
      </x:c>
      <x:c r="E44" s="5" t="n">
        <x:v>91769.81077781651</x:v>
      </x:c>
      <x:c r="F44" s="5" t="n">
        <x:v>0</x:v>
      </x:c>
      <x:c r="G44" s="5" t="n">
        <x:v>22394.91683766554</x:v>
      </x:c>
      <x:c r="H44" s="5" t="n">
        <x:v>1374.2316131107543</x:v>
      </x:c>
      <x:c r="I44" s="5" t="n">
        <x:v>154.3699037662203</x:v>
      </x:c>
      <x:c r="J44" s="5" t="n">
        <x:v>66.3999059745509</x:v>
      </x:c>
      <x:c r="K44" s="5" t="n">
        <x:v>69220.52403638476</x:v>
      </x:c>
      <x:c r="L44" s="5" t="n">
        <x:v>171.38342000521453</x:v>
      </x:c>
      <x:c r="M44" s="5" t="n">
        <x:v>0.28877710788623584</x:v>
      </x:c>
      <x:c r="N44" s="5" t="n">
        <x:v>0</x:v>
      </x:c>
      <x:c r="O44" s="5" t="n">
        <x:v>0</x:v>
      </x:c>
      <x:c r="P44" s="5" t="n">
        <x:v>0</x:v>
      </x:c>
      <x:c r="Q44" s="2" t="n">
        <x:v>171.38342000521453</x:v>
      </x:c>
    </x:row>
    <x:row r="45" ht="20" customHeight="1">
      <x:c r="A45" s="2" t="n">
        <x:v>2</x:v>
      </x:c>
      <x:c r="B45" s="2" t="str">
        <x:v>low</x:v>
      </x:c>
      <x:c r="C45" s="2" t="n">
        <x:v>12</x:v>
      </x:c>
      <x:c r="D45" s="2" t="n">
        <x:v>10</x:v>
      </x:c>
      <x:c r="E45" s="5" t="n">
        <x:v>69220.52403638476</x:v>
      </x:c>
      <x:c r="F45" s="5" t="n">
        <x:v>0</x:v>
      </x:c>
      <x:c r="G45" s="5" t="n">
        <x:v>22692.60407601416</x:v>
      </x:c>
      <x:c r="H45" s="5" t="n">
        <x:v>1036.5612787107032</x:v>
      </x:c>
      <x:c r="I45" s="5" t="n">
        <x:v>116.43878900453254</x:v>
      </x:c>
      <x:c r="J45" s="5" t="n">
        <x:v>57.236147900470485</x:v>
      </x:c>
      <x:c r="K45" s="5" t="n">
        <x:v>46411.48117136606</x:v>
      </x:c>
      <x:c r="L45" s="5" t="n">
        <x:v>171.09512866158974</x:v>
      </x:c>
      <x:c r="M45" s="5" t="n">
        <x:v>0.28829134362480335</x:v>
      </x:c>
      <x:c r="N45" s="5" t="n">
        <x:v>0</x:v>
      </x:c>
      <x:c r="O45" s="5" t="n">
        <x:v>0</x:v>
      </x:c>
      <x:c r="P45" s="5" t="n">
        <x:v>0</x:v>
      </x:c>
      <x:c r="Q45" s="2" t="n">
        <x:v>171.09512866158974</x:v>
      </x:c>
    </x:row>
    <x:row r="46" ht="20" customHeight="1">
      <x:c r="A46" s="2" t="n">
        <x:v>2</x:v>
      </x:c>
      <x:c r="B46" s="2" t="str">
        <x:v>low</x:v>
      </x:c>
      <x:c r="C46" s="2" t="n">
        <x:v>13</x:v>
      </x:c>
      <x:c r="D46" s="2" t="n">
        <x:v>11</x:v>
      </x:c>
      <x:c r="E46" s="5" t="n">
        <x:v>46411.48117136606</x:v>
      </x:c>
      <x:c r="F46" s="5" t="n">
        <x:v>0</x:v>
      </x:c>
      <x:c r="G46" s="5" t="n">
        <x:v>22994.248359281406</x:v>
      </x:c>
      <x:c r="H46" s="5" t="n">
        <x:v>695.0011566592805</x:v>
      </x:c>
      <x:c r="I46" s="5" t="n">
        <x:v>78.07072741402453</x:v>
      </x:c>
      <x:c r="J46" s="5" t="n">
        <x:v>47.96747887920675</x:v>
      </x:c>
      <x:c r="K46" s="5" t="n">
        <x:v>23339.16208467063</x:v>
      </x:c>
      <x:c r="L46" s="5" t="n">
        <x:v>170.80732226510162</x:v>
      </x:c>
      <x:c r="M46" s="5" t="n">
        <x:v>0.28780639648810563</x:v>
      </x:c>
      <x:c r="N46" s="5" t="n">
        <x:v>0</x:v>
      </x:c>
      <x:c r="O46" s="5" t="n">
        <x:v>0</x:v>
      </x:c>
      <x:c r="P46" s="5" t="n">
        <x:v>0</x:v>
      </x:c>
      <x:c r="Q46" s="2" t="n">
        <x:v>170.80732226510162</x:v>
      </x:c>
    </x:row>
    <x:row r="47" ht="20" customHeight="1">
      <x:c r="A47" s="2" t="n">
        <x:v>2</x:v>
      </x:c>
      <x:c r="B47" s="2" t="str">
        <x:v>low</x:v>
      </x:c>
      <x:c r="C47" s="2" t="n">
        <x:v>14</x:v>
      </x:c>
      <x:c r="D47" s="2" t="n">
        <x:v>12</x:v>
      </x:c>
      <x:c r="E47" s="5" t="n">
        <x:v>23339.16208467063</x:v>
      </x:c>
      <x:c r="F47" s="5" t="n">
        <x:v>0</x:v>
      </x:c>
      <x:c r="G47" s="5" t="n">
        <x:v>23299.902286982717</x:v>
      </x:c>
      <x:c r="H47" s="5" t="n">
        <x:v>349.49853430474076</x:v>
      </x:c>
      <x:c r="I47" s="5" t="n">
        <x:v>39.259797687909604</x:v>
      </x:c>
      <x:c r="J47" s="5" t="n">
        <x:v>38.59247594155507</x:v>
      </x:c>
      <x:c r="K47" s="5" t="n">
        <x:v>0</x:v>
      </x:c>
      <x:c r="L47" s="5" t="n">
        <x:v>0</x:v>
      </x:c>
      <x:c r="M47" s="5" t="n">
        <x:v>0.28732226510162234</x:v>
      </x:c>
      <x:c r="N47" s="5" t="n">
        <x:v>0</x:v>
      </x:c>
      <x:c r="O47" s="5" t="n">
        <x:v>0</x:v>
      </x:c>
      <x:c r="P47" s="5" t="n">
        <x:v>0</x:v>
      </x:c>
      <x:c r="Q47" s="2" t="n">
        <x:v>170.52</x:v>
      </x:c>
    </x:row>
    <x:row r="48" ht="20" customHeight="1">
      <x:c r="A48" s="2" t="n">
        <x:v>2</x:v>
      </x:c>
      <x:c r="B48" s="2" t="str">
        <x:v>low</x:v>
      </x:c>
      <x:c r="C48" s="2" t="n">
        <x:v>15</x:v>
      </x:c>
      <x:c r="D48" s="2" t="n">
        <x:v>13</x:v>
      </x:c>
      <x:c r="E48" s="5" t="n">
        <x:v>0</x:v>
      </x:c>
      <x:c r="F48" s="5" t="n">
        <x:v>0</x:v>
      </x:c>
      <x:c r="G48" s="5" t="n">
        <x:v>0</x:v>
      </x:c>
      <x:c r="H48" s="5" t="n">
        <x:v>0</x:v>
      </x:c>
      <x:c r="I48" s="5" t="n">
        <x:v>0</x:v>
      </x:c>
      <x:c r="J48" s="5" t="n">
        <x:v>29.109697251133134</x:v>
      </x:c>
      <x:c r="K48" s="5" t="n">
        <x:v>0</x:v>
      </x:c>
      <x:c r="L48" s="5" t="n">
        <x:v>0</x:v>
      </x:c>
      <x:c r="M48" s="5" t="n">
        <x:v>0</x:v>
      </x:c>
      <x:c r="N48" s="5" t="n">
        <x:v>0</x:v>
      </x:c>
      <x:c r="O48" s="5" t="n">
        <x:v>0</x:v>
      </x:c>
      <x:c r="P48" s="5" t="n">
        <x:v>0</x:v>
      </x:c>
      <x:c r="Q48" s="2" t="n">
        <x:v>0</x:v>
      </x:c>
    </x:row>
    <x:row r="49" ht="20" customHeight="1">
      <x:c r="A49" s="2" t="n">
        <x:v>2</x:v>
      </x:c>
      <x:c r="B49" s="2" t="str">
        <x:v>low</x:v>
      </x:c>
      <x:c r="C49" s="2" t="n">
        <x:v>16</x:v>
      </x:c>
      <x:c r="D49" s="2" t="n">
        <x:v>14</x:v>
      </x:c>
      <x:c r="E49" s="5" t="n">
        <x:v>0</x:v>
      </x:c>
      <x:c r="F49" s="5" t="n">
        <x:v>0</x:v>
      </x:c>
      <x:c r="G49" s="5" t="n">
        <x:v>0</x:v>
      </x:c>
      <x:c r="H49" s="5" t="n">
        <x:v>0</x:v>
      </x:c>
      <x:c r="I49" s="5" t="n">
        <x:v>0</x:v>
      </x:c>
      <x:c r="J49" s="5" t="n">
        <x:v>19.517681853506133</x:v>
      </x:c>
      <x:c r="K49" s="5" t="n">
        <x:v>0</x:v>
      </x:c>
      <x:c r="L49" s="5" t="n">
        <x:v>0</x:v>
      </x:c>
      <x:c r="M49" s="5" t="n">
        <x:v>0</x:v>
      </x:c>
      <x:c r="N49" s="5" t="n">
        <x:v>0</x:v>
      </x:c>
      <x:c r="O49" s="5" t="n">
        <x:v>0</x:v>
      </x:c>
      <x:c r="P49" s="5" t="n">
        <x:v>0</x:v>
      </x:c>
      <x:c r="Q49" s="2" t="n">
        <x:v>0</x:v>
      </x:c>
    </x:row>
    <x:row r="50" ht="20" customHeight="1">
      <x:c r="A50" s="2" t="n">
        <x:v>2</x:v>
      </x:c>
      <x:c r="B50" s="2" t="str">
        <x:v>low</x:v>
      </x:c>
      <x:c r="C50" s="2" t="n">
        <x:v>17</x:v>
      </x:c>
      <x:c r="D50" s="2" t="n">
        <x:v>15</x:v>
      </x:c>
      <x:c r="E50" s="5" t="n">
        <x:v>0</x:v>
      </x:c>
      <x:c r="F50" s="5" t="n">
        <x:v>0</x:v>
      </x:c>
      <x:c r="G50" s="5" t="n">
        <x:v>0</x:v>
      </x:c>
      <x:c r="H50" s="5" t="n">
        <x:v>0</x:v>
      </x:c>
      <x:c r="I50" s="5" t="n">
        <x:v>0</x:v>
      </x:c>
      <x:c r="J50" s="5" t="n">
        <x:v>9.814949421977401</x:v>
      </x:c>
      <x:c r="K50" s="5" t="n">
        <x:v>0</x:v>
      </x:c>
      <x:c r="L50" s="5" t="n">
        <x:v>0</x:v>
      </x:c>
      <x:c r="M50" s="5" t="n">
        <x:v>0</x:v>
      </x:c>
      <x:c r="N50" s="5" t="n">
        <x:v>0</x:v>
      </x:c>
      <x:c r="O50" s="5" t="n">
        <x:v>0</x:v>
      </x:c>
      <x:c r="P50" s="5" t="n">
        <x:v>0</x:v>
      </x:c>
      <x:c r="Q50" s="2" t="n">
        <x:v>0</x:v>
      </x:c>
    </x:row>
    <x:row r="51" ht="20" customHeight="1">
      <x:c r="A51" s="2" t="n">
        <x:v>3</x:v>
      </x:c>
      <x:c r="B51" s="2" t="str">
        <x:v>low</x:v>
      </x:c>
      <x:c r="C51" s="2" t="n">
        <x:v>3</x:v>
      </x:c>
      <x:c r="D51" s="2" t="n">
        <x:v>0</x:v>
      </x:c>
      <x:c r="E51" s="5" t="n">
        <x:v>0</x:v>
      </x:c>
      <x:c r="F51" s="5" t="n">
        <x:v>304136.54</x:v>
      </x:c>
      <x:c r="G51" s="5" t="n">
        <x:v>0</x:v>
      </x:c>
      <x:c r="H51" s="5" t="n">
        <x:v>0</x:v>
      </x:c>
      <x:c r="I51" s="5" t="n">
        <x:v>0</x:v>
      </x:c>
      <x:c r="J51" s="5" t="n">
        <x:v>0</x:v>
      </x:c>
      <x:c r="K51" s="5" t="n">
        <x:v>304136.54</x:v>
      </x:c>
      <x:c r="L51" s="5" t="n">
        <x:v>206</x:v>
      </x:c>
      <x:c r="M51" s="5" t="n">
        <x:v>0</x:v>
      </x:c>
      <x:c r="N51" s="5" t="n">
        <x:v>206</x:v>
      </x:c>
      <x:c r="O51" s="5" t="n">
        <x:v>6082.7308</x:v>
      </x:c>
      <x:c r="P51" s="5" t="n">
        <x:v>5150</x:v>
      </x:c>
      <x:c r="Q51" s="2" t="n">
        <x:v>0</x:v>
      </x:c>
    </x:row>
    <x:row r="52" ht="20" customHeight="1">
      <x:c r="A52" s="2" t="n">
        <x:v>3</x:v>
      </x:c>
      <x:c r="B52" s="2" t="str">
        <x:v>low</x:v>
      </x:c>
      <x:c r="C52" s="2" t="n">
        <x:v>4</x:v>
      </x:c>
      <x:c r="D52" s="2" t="n">
        <x:v>1</x:v>
      </x:c>
      <x:c r="E52" s="5" t="n">
        <x:v>304136.54</x:v>
      </x:c>
      <x:c r="F52" s="5" t="n">
        <x:v>0</x:v>
      </x:c>
      <x:c r="G52" s="5" t="n">
        <x:v>23281.958167464418</x:v>
      </x:c>
      <x:c r="H52" s="5" t="n">
        <x:v>4554.374084763345</x:v>
      </x:c>
      <x:c r="I52" s="5" t="n">
        <x:v>511.6010157769695</x:v>
      </x:c>
      <x:c r="J52" s="5" t="n">
        <x:v>0</x:v>
      </x:c>
      <x:c r="K52" s="5" t="n">
        <x:v>280342.9808167586</x:v>
      </x:c>
      <x:c r="L52" s="5" t="n">
        <x:v>205.65347863413567</x:v>
      </x:c>
      <x:c r="M52" s="5" t="n">
        <x:v>0.34652136586434407</x:v>
      </x:c>
      <x:c r="N52" s="5" t="n">
        <x:v>0</x:v>
      </x:c>
      <x:c r="O52" s="5" t="n">
        <x:v>0</x:v>
      </x:c>
      <x:c r="P52" s="5" t="n">
        <x:v>0</x:v>
      </x:c>
      <x:c r="Q52" s="2" t="n">
        <x:v>205.65347863413567</x:v>
      </x:c>
    </x:row>
    <x:row r="53" ht="20" customHeight="1">
      <x:c r="A53" s="2" t="n">
        <x:v>3</x:v>
      </x:c>
      <x:c r="B53" s="2" t="str">
        <x:v>low</x:v>
      </x:c>
      <x:c r="C53" s="2" t="n">
        <x:v>5</x:v>
      </x:c>
      <x:c r="D53" s="2" t="n">
        <x:v>2</x:v>
      </x:c>
      <x:c r="E53" s="5" t="n">
        <x:v>280342.9808167586</x:v>
      </x:c>
      <x:c r="F53" s="5" t="n">
        <x:v>0</x:v>
      </x:c>
      <x:c r="G53" s="5" t="n">
        <x:v>23591.436513843622</x:v>
      </x:c>
      <x:c r="H53" s="5" t="n">
        <x:v>4198.071059390473</x:v>
      </x:c>
      <x:c r="I53" s="5" t="n">
        <x:v>471.57685739371266</x:v>
      </x:c>
      <x:c r="J53" s="5" t="n">
        <x:v>0</x:v>
      </x:c>
      <x:c r="K53" s="5" t="n">
        <x:v>256279.96744552127</x:v>
      </x:c>
      <x:c r="L53" s="5" t="n">
        <x:v>205.30754016660626</x:v>
      </x:c>
      <x:c r="M53" s="5" t="n">
        <x:v>0.3459384675293902</x:v>
      </x:c>
      <x:c r="N53" s="5" t="n">
        <x:v>0</x:v>
      </x:c>
      <x:c r="O53" s="5" t="n">
        <x:v>0</x:v>
      </x:c>
      <x:c r="P53" s="5" t="n">
        <x:v>0</x:v>
      </x:c>
      <x:c r="Q53" s="2" t="n">
        <x:v>205.30754016660626</x:v>
      </x:c>
    </x:row>
    <x:row r="54" ht="20" customHeight="1">
      <x:c r="A54" s="2" t="n">
        <x:v>3</x:v>
      </x:c>
      <x:c r="B54" s="2" t="str">
        <x:v>low</x:v>
      </x:c>
      <x:c r="C54" s="2" t="n">
        <x:v>6</x:v>
      </x:c>
      <x:c r="D54" s="2" t="n">
        <x:v>3</x:v>
      </x:c>
      <x:c r="E54" s="5" t="n">
        <x:v>256279.96744552127</x:v>
      </x:c>
      <x:c r="F54" s="5" t="n">
        <x:v>0</x:v>
      </x:c>
      <x:c r="G54" s="5" t="n">
        <x:v>23905.028639922482</x:v>
      </x:c>
      <x:c r="H54" s="5" t="n">
        <x:v>3837.7330201029968</x:v>
      </x:c>
      <x:c r="I54" s="5" t="n">
        <x:v>431.0994386548139</x:v>
      </x:c>
      <x:c r="J54" s="5" t="n">
        <x:v>0</x:v>
      </x:c>
      <x:c r="K54" s="5" t="n">
        <x:v>231943.83936694398</x:v>
      </x:c>
      <x:c r="L54" s="5" t="n">
        <x:v>204.96218361689373</x:v>
      </x:c>
      <x:c r="M54" s="5" t="n">
        <x:v>0.34535654971252955</x:v>
      </x:c>
      <x:c r="N54" s="5" t="n">
        <x:v>0</x:v>
      </x:c>
      <x:c r="O54" s="5" t="n">
        <x:v>0</x:v>
      </x:c>
      <x:c r="P54" s="5" t="n">
        <x:v>0</x:v>
      </x:c>
      <x:c r="Q54" s="2" t="n">
        <x:v>204.96218361689373</x:v>
      </x:c>
    </x:row>
    <x:row r="55" ht="20" customHeight="1">
      <x:c r="A55" s="2" t="n">
        <x:v>3</x:v>
      </x:c>
      <x:c r="B55" s="2" t="str">
        <x:v>low</x:v>
      </x:c>
      <x:c r="C55" s="2" t="n">
        <x:v>7</x:v>
      </x:c>
      <x:c r="D55" s="2" t="n">
        <x:v>4</x:v>
      </x:c>
      <x:c r="E55" s="5" t="n">
        <x:v>231943.83936694398</x:v>
      </x:c>
      <x:c r="F55" s="5" t="n">
        <x:v>0</x:v>
      </x:c>
      <x:c r="G55" s="5" t="n">
        <x:v>24222.789228633155</x:v>
      </x:c>
      <x:c r="H55" s="5" t="n">
        <x:v>3473.305151473486</x:v>
      </x:c>
      <x:c r="I55" s="5" t="n">
        <x:v>390.16260204491965</x:v>
      </x:c>
      <x:c r="J55" s="5" t="n">
        <x:v>127.90025394424238</x:v>
      </x:c>
      <x:c r="K55" s="5" t="n">
        <x:v>207330.88753626592</x:v>
      </x:c>
      <x:c r="L55" s="5" t="n">
        <x:v>204.61740800612935</x:v>
      </x:c>
      <x:c r="M55" s="5" t="n">
        <x:v>0.3447756107643908</x:v>
      </x:c>
      <x:c r="N55" s="5" t="n">
        <x:v>0</x:v>
      </x:c>
      <x:c r="O55" s="5" t="n">
        <x:v>0</x:v>
      </x:c>
      <x:c r="P55" s="5" t="n">
        <x:v>0</x:v>
      </x:c>
      <x:c r="Q55" s="2" t="n">
        <x:v>204.61740800612935</x:v>
      </x:c>
    </x:row>
    <x:row r="56" ht="20" customHeight="1">
      <x:c r="A56" s="2" t="n">
        <x:v>3</x:v>
      </x:c>
      <x:c r="B56" s="2" t="str">
        <x:v>low</x:v>
      </x:c>
      <x:c r="C56" s="2" t="n">
        <x:v>8</x:v>
      </x:c>
      <x:c r="D56" s="2" t="n">
        <x:v>5</x:v>
      </x:c>
      <x:c r="E56" s="5" t="n">
        <x:v>207330.88753626592</x:v>
      </x:c>
      <x:c r="F56" s="5" t="n">
        <x:v>0</x:v>
      </x:c>
      <x:c r="G56" s="5" t="n">
        <x:v>24544.773689787515</x:v>
      </x:c>
      <x:c r="H56" s="5" t="n">
        <x:v>3104.7319114176585</x:v>
      </x:c>
      <x:c r="I56" s="5" t="n">
        <x:v>348.76010842200765</x:v>
      </x:c>
      <x:c r="J56" s="5" t="n">
        <x:v>117.89421434842816</x:v>
      </x:c>
      <x:c r="K56" s="5" t="n">
        <x:v>182437.35373805638</x:v>
      </x:c>
      <x:c r="L56" s="5" t="n">
        <x:v>204.27321235709096</x:v>
      </x:c>
      <x:c r="M56" s="5" t="n">
        <x:v>0.34419564903837724</x:v>
      </x:c>
      <x:c r="N56" s="5" t="n">
        <x:v>0</x:v>
      </x:c>
      <x:c r="O56" s="5" t="n">
        <x:v>0</x:v>
      </x:c>
      <x:c r="P56" s="5" t="n">
        <x:v>0</x:v>
      </x:c>
      <x:c r="Q56" s="2" t="n">
        <x:v>204.27321235709096</x:v>
      </x:c>
    </x:row>
    <x:row r="57" ht="20" customHeight="1">
      <x:c r="A57" s="2" t="n">
        <x:v>3</x:v>
      </x:c>
      <x:c r="B57" s="2" t="str">
        <x:v>low</x:v>
      </x:c>
      <x:c r="C57" s="2" t="n">
        <x:v>9</x:v>
      </x:c>
      <x:c r="D57" s="2" t="n">
        <x:v>6</x:v>
      </x:c>
      <x:c r="E57" s="5" t="n">
        <x:v>182437.35373805638</x:v>
      </x:c>
      <x:c r="F57" s="5" t="n">
        <x:v>0</x:v>
      </x:c>
      <x:c r="G57" s="5" t="n">
        <x:v>24871.03816973931</x:v>
      </x:c>
      <x:c r="H57" s="5" t="n">
        <x:v>2731.9570215318663</x:v>
      </x:c>
      <x:c r="I57" s="5" t="n">
        <x:v>306.8856359319796</x:v>
      </x:c>
      <x:c r="J57" s="5" t="n">
        <x:v>107.77485966370348</x:v>
      </x:c>
      <x:c r="K57" s="5" t="n">
        <x:v>157259.4299323851</x:v>
      </x:c>
      <x:c r="L57" s="5" t="n">
        <x:v>203.92959569420032</x:v>
      </x:c>
      <x:c r="M57" s="5" t="n">
        <x:v>0.343616662890662</x:v>
      </x:c>
      <x:c r="N57" s="5" t="n">
        <x:v>0</x:v>
      </x:c>
      <x:c r="O57" s="5" t="n">
        <x:v>0</x:v>
      </x:c>
      <x:c r="P57" s="5" t="n">
        <x:v>0</x:v>
      </x:c>
      <x:c r="Q57" s="2" t="n">
        <x:v>203.92959569420032</x:v>
      </x:c>
    </x:row>
    <x:row r="58" ht="20" customHeight="1">
      <x:c r="A58" s="2" t="n">
        <x:v>3</x:v>
      </x:c>
      <x:c r="B58" s="2" t="str">
        <x:v>low</x:v>
      </x:c>
      <x:c r="C58" s="2" t="n">
        <x:v>10</x:v>
      </x:c>
      <x:c r="D58" s="2" t="n">
        <x:v>7</x:v>
      </x:c>
      <x:c r="E58" s="5" t="n">
        <x:v>157259.4299323851</x:v>
      </x:c>
      <x:c r="F58" s="5" t="n">
        <x:v>0</x:v>
      </x:c>
      <x:c r="G58" s="5" t="n">
        <x:v>25201.63956117473</x:v>
      </x:c>
      <x:c r="H58" s="5" t="n">
        <x:v>2354.923457302144</x:v>
      </x:c>
      <x:c r="I58" s="5" t="n">
        <x:v>264.53277890882623</x:v>
      </x:c>
      <x:c r="J58" s="5" t="n">
        <x:v>97.54065051122991</x:v>
      </x:c>
      <x:c r="K58" s="5" t="n">
        <x:v>131793.25759230155</x:v>
      </x:c>
      <x:c r="L58" s="5" t="n">
        <x:v>203.58655704352012</x:v>
      </x:c>
      <x:c r="M58" s="5" t="n">
        <x:v>0.34303865068018324</x:v>
      </x:c>
      <x:c r="N58" s="5" t="n">
        <x:v>0</x:v>
      </x:c>
      <x:c r="O58" s="5" t="n">
        <x:v>0</x:v>
      </x:c>
      <x:c r="P58" s="5" t="n">
        <x:v>0</x:v>
      </x:c>
      <x:c r="Q58" s="2" t="n">
        <x:v>203.58655704352012</x:v>
      </x:c>
    </x:row>
    <x:row r="59" ht="20" customHeight="1">
      <x:c r="A59" s="2" t="n">
        <x:v>3</x:v>
      </x:c>
      <x:c r="B59" s="2" t="str">
        <x:v>low</x:v>
      </x:c>
      <x:c r="C59" s="2" t="n">
        <x:v>11</x:v>
      </x:c>
      <x:c r="D59" s="2" t="n">
        <x:v>8</x:v>
      </x:c>
      <x:c r="E59" s="5" t="n">
        <x:v>131793.25759230155</x:v>
      </x:c>
      <x:c r="F59" s="5" t="n">
        <x:v>0</x:v>
      </x:c>
      <x:c r="G59" s="5" t="n">
        <x:v>25536.635513033125</x:v>
      </x:c>
      <x:c r="H59" s="5" t="n">
        <x:v>1973.5734381831205</x:v>
      </x:c>
      <x:c r="I59" s="5" t="n">
        <x:v>221.69504676017314</x:v>
      </x:c>
      <x:c r="J59" s="5" t="n">
        <x:v>87.19002710550191</x:v>
      </x:c>
      <x:c r="K59" s="5" t="n">
        <x:v>106034.92703250825</x:v>
      </x:c>
      <x:c r="L59" s="5" t="n">
        <x:v>203.2440954327515</x:v>
      </x:c>
      <x:c r="M59" s="5" t="n">
        <x:v>0.3424616107686398</x:v>
      </x:c>
      <x:c r="N59" s="5" t="n">
        <x:v>0</x:v>
      </x:c>
      <x:c r="O59" s="5" t="n">
        <x:v>0</x:v>
      </x:c>
      <x:c r="P59" s="5" t="n">
        <x:v>0</x:v>
      </x:c>
      <x:c r="Q59" s="2" t="n">
        <x:v>203.2440954327515</x:v>
      </x:c>
    </x:row>
    <x:row r="60" ht="20" customHeight="1">
      <x:c r="A60" s="2" t="n">
        <x:v>3</x:v>
      </x:c>
      <x:c r="B60" s="2" t="str">
        <x:v>low</x:v>
      </x:c>
      <x:c r="C60" s="2" t="n">
        <x:v>12</x:v>
      </x:c>
      <x:c r="D60" s="2" t="n">
        <x:v>9</x:v>
      </x:c>
      <x:c r="E60" s="5" t="n">
        <x:v>106034.92703250825</x:v>
      </x:c>
      <x:c r="F60" s="5" t="n">
        <x:v>0</x:v>
      </x:c>
      <x:c r="G60" s="5" t="n">
        <x:v>25876.084440559593</x:v>
      </x:c>
      <x:c r="H60" s="5" t="n">
        <x:v>1587.8484175450535</x:v>
      </x:c>
      <x:c r="I60" s="5" t="n">
        <x:v>178.36586283801367</x:v>
      </x:c>
      <x:c r="J60" s="5" t="n">
        <x:v>76.7214089829949</x:v>
      </x:c>
      <x:c r="K60" s="5" t="n">
        <x:v>79980.47672911064</x:v>
      </x:c>
      <x:c r="L60" s="5" t="n">
        <x:v>202.902209891231</x:v>
      </x:c>
      <x:c r="M60" s="5" t="n">
        <x:v>0.3418855415204861</x:v>
      </x:c>
      <x:c r="N60" s="5" t="n">
        <x:v>0</x:v>
      </x:c>
      <x:c r="O60" s="5" t="n">
        <x:v>0</x:v>
      </x:c>
      <x:c r="P60" s="5" t="n">
        <x:v>0</x:v>
      </x:c>
      <x:c r="Q60" s="2" t="n">
        <x:v>202.902209891231</x:v>
      </x:c>
    </x:row>
    <x:row r="61" ht="20" customHeight="1">
      <x:c r="A61" s="2" t="n">
        <x:v>3</x:v>
      </x:c>
      <x:c r="B61" s="2" t="str">
        <x:v>low</x:v>
      </x:c>
      <x:c r="C61" s="2" t="n">
        <x:v>13</x:v>
      </x:c>
      <x:c r="D61" s="2" t="n">
        <x:v>10</x:v>
      </x:c>
      <x:c r="E61" s="5" t="n">
        <x:v>79980.47672911064</x:v>
      </x:c>
      <x:c r="F61" s="5" t="n">
        <x:v>0</x:v>
      </x:c>
      <x:c r="G61" s="5" t="n">
        <x:v>26220.045535491205</x:v>
      </x:c>
      <x:c r="H61" s="5" t="n">
        <x:v>1197.689072487243</x:v>
      </x:c>
      <x:c r="I61" s="5" t="n">
        <x:v>134.5385632944311</x:v>
      </x:c>
      <x:c r="J61" s="5" t="n">
        <x:v>66.13319472720656</x:v>
      </x:c>
      <x:c r="K61" s="5" t="n">
        <x:v>53625.892630325</x:v>
      </x:c>
      <x:c r="L61" s="5" t="n">
        <x:v>202.56089944992806</x:v>
      </x:c>
      <x:c r="M61" s="5" t="n">
        <x:v>0.3413104413029281</x:v>
      </x:c>
      <x:c r="N61" s="5" t="n">
        <x:v>0</x:v>
      </x:c>
      <x:c r="O61" s="5" t="n">
        <x:v>0</x:v>
      </x:c>
      <x:c r="P61" s="5" t="n">
        <x:v>0</x:v>
      </x:c>
      <x:c r="Q61" s="2" t="n">
        <x:v>202.56089944992806</x:v>
      </x:c>
    </x:row>
    <x:row r="62" ht="20" customHeight="1">
      <x:c r="A62" s="2" t="n">
        <x:v>3</x:v>
      </x:c>
      <x:c r="B62" s="2" t="str">
        <x:v>low</x:v>
      </x:c>
      <x:c r="C62" s="2" t="n">
        <x:v>14</x:v>
      </x:c>
      <x:c r="D62" s="2" t="n">
        <x:v>11</x:v>
      </x:c>
      <x:c r="E62" s="5" t="n">
        <x:v>53625.892630325</x:v>
      </x:c>
      <x:c r="F62" s="5" t="n">
        <x:v>0</x:v>
      </x:c>
      <x:c r="G62" s="5" t="n">
        <x:v>26568.578776378607</x:v>
      </x:c>
      <x:c r="H62" s="5" t="n">
        <x:v>803.0352935160433</x:v>
      </x:c>
      <x:c r="I62" s="5" t="n">
        <x:v>90.20639592211108</x:v>
      </x:c>
      <x:c r="J62" s="5" t="n">
        <x:v>55.423761690043285</x:v>
      </x:c>
      <x:c r="K62" s="5" t="n">
        <x:v>26967.107458024286</x:v>
      </x:c>
      <x:c r="L62" s="5" t="n">
        <x:v>202.22016314144216</x:v>
      </x:c>
      <x:c r="M62" s="5" t="n">
        <x:v>0.3407363084859181</x:v>
      </x:c>
      <x:c r="N62" s="5" t="n">
        <x:v>0</x:v>
      </x:c>
      <x:c r="O62" s="5" t="n">
        <x:v>0</x:v>
      </x:c>
      <x:c r="P62" s="5" t="n">
        <x:v>0</x:v>
      </x:c>
      <x:c r="Q62" s="2" t="n">
        <x:v>202.22016314144216</x:v>
      </x:c>
    </x:row>
    <x:row r="63" ht="20" customHeight="1">
      <x:c r="A63" s="2" t="n">
        <x:v>3</x:v>
      </x:c>
      <x:c r="B63" s="2" t="str">
        <x:v>low</x:v>
      </x:c>
      <x:c r="C63" s="2" t="n">
        <x:v>15</x:v>
      </x:c>
      <x:c r="D63" s="2" t="n">
        <x:v>12</x:v>
      </x:c>
      <x:c r="E63" s="5" t="n">
        <x:v>26967.107458024286</x:v>
      </x:c>
      <x:c r="F63" s="5" t="n">
        <x:v>0</x:v>
      </x:c>
      <x:c r="G63" s="5" t="n">
        <x:v>26921.744939044842</x:v>
      </x:c>
      <x:c r="H63" s="5" t="n">
        <x:v>403.8261740856726</x:v>
      </x:c>
      <x:c r="I63" s="5" t="n">
        <x:v>45.36251897944231</x:v>
      </x:c>
      <x:c r="J63" s="5" t="n">
        <x:v>44.59146570950342</x:v>
      </x:c>
      <x:c r="K63" s="5" t="n">
        <x:v>0</x:v>
      </x:c>
      <x:c r="L63" s="5" t="n">
        <x:v>0</x:v>
      </x:c>
      <x:c r="M63" s="5" t="n">
        <x:v>0.3401631414421506</x:v>
      </x:c>
      <x:c r="N63" s="5" t="n">
        <x:v>0</x:v>
      </x:c>
      <x:c r="O63" s="5" t="n">
        <x:v>0</x:v>
      </x:c>
      <x:c r="P63" s="5" t="n">
        <x:v>0</x:v>
      </x:c>
      <x:c r="Q63" s="2" t="n">
        <x:v>201.88</x:v>
      </x:c>
    </x:row>
    <x:row r="64" ht="20" customHeight="1">
      <x:c r="A64" s="2" t="n">
        <x:v>3</x:v>
      </x:c>
      <x:c r="B64" s="2" t="str">
        <x:v>low</x:v>
      </x:c>
      <x:c r="C64" s="2" t="n">
        <x:v>16</x:v>
      </x:c>
      <x:c r="D64" s="2" t="n">
        <x:v>13</x:v>
      </x:c>
      <x:c r="E64" s="5" t="n">
        <x:v>0</x:v>
      </x:c>
      <x:c r="F64" s="5" t="n">
        <x:v>0</x:v>
      </x:c>
      <x:c r="G64" s="5" t="n">
        <x:v>0</x:v>
      </x:c>
      <x:c r="H64" s="5" t="n">
        <x:v>0</x:v>
      </x:c>
      <x:c r="I64" s="5" t="n">
        <x:v>0</x:v>
      </x:c>
      <x:c r="J64" s="5" t="n">
        <x:v>33.634640823607775</x:v>
      </x:c>
      <x:c r="K64" s="5" t="n">
        <x:v>0</x:v>
      </x:c>
      <x:c r="L64" s="5" t="n">
        <x:v>0</x:v>
      </x:c>
      <x:c r="M64" s="5" t="n">
        <x:v>0</x:v>
      </x:c>
      <x:c r="N64" s="5" t="n">
        <x:v>0</x:v>
      </x:c>
      <x:c r="O64" s="5" t="n">
        <x:v>0</x:v>
      </x:c>
      <x:c r="P64" s="5" t="n">
        <x:v>0</x:v>
      </x:c>
      <x:c r="Q64" s="2" t="n">
        <x:v>0</x:v>
      </x:c>
    </x:row>
    <x:row r="65" ht="20" customHeight="1">
      <x:c r="A65" s="2" t="n">
        <x:v>3</x:v>
      </x:c>
      <x:c r="B65" s="2" t="str">
        <x:v>low</x:v>
      </x:c>
      <x:c r="C65" s="2" t="n">
        <x:v>17</x:v>
      </x:c>
      <x:c r="D65" s="2" t="n">
        <x:v>14</x:v>
      </x:c>
      <x:c r="E65" s="5" t="n">
        <x:v>0</x:v>
      </x:c>
      <x:c r="F65" s="5" t="n">
        <x:v>0</x:v>
      </x:c>
      <x:c r="G65" s="5" t="n">
        <x:v>0</x:v>
      </x:c>
      <x:c r="H65" s="5" t="n">
        <x:v>0</x:v>
      </x:c>
      <x:c r="I65" s="5" t="n">
        <x:v>0</x:v>
      </x:c>
      <x:c r="J65" s="5" t="n">
        <x:v>22.55159898052777</x:v>
      </x:c>
      <x:c r="K65" s="5" t="n">
        <x:v>0</x:v>
      </x:c>
      <x:c r="L65" s="5" t="n">
        <x:v>0</x:v>
      </x:c>
      <x:c r="M65" s="5" t="n">
        <x:v>0</x:v>
      </x:c>
      <x:c r="N65" s="5" t="n">
        <x:v>0</x:v>
      </x:c>
      <x:c r="O65" s="5" t="n">
        <x:v>0</x:v>
      </x:c>
      <x:c r="P65" s="5" t="n">
        <x:v>0</x:v>
      </x:c>
      <x:c r="Q65" s="2" t="n">
        <x:v>0</x:v>
      </x:c>
    </x:row>
    <x:row r="66" ht="20" customHeight="1">
      <x:c r="A66" s="2" t="n">
        <x:v>3</x:v>
      </x:c>
      <x:c r="B66" s="2" t="str">
        <x:v>low</x:v>
      </x:c>
      <x:c r="C66" s="2" t="n">
        <x:v>18</x:v>
      </x:c>
      <x:c r="D66" s="2" t="n">
        <x:v>15</x:v>
      </x:c>
      <x:c r="E66" s="5" t="n">
        <x:v>0</x:v>
      </x:c>
      <x:c r="F66" s="5" t="n">
        <x:v>0</x:v>
      </x:c>
      <x:c r="G66" s="5" t="n">
        <x:v>0</x:v>
      </x:c>
      <x:c r="H66" s="5" t="n">
        <x:v>0</x:v>
      </x:c>
      <x:c r="I66" s="5" t="n">
        <x:v>0</x:v>
      </x:c>
      <x:c r="J66" s="5" t="n">
        <x:v>11.340629744860577</x:v>
      </x:c>
      <x:c r="K66" s="5" t="n">
        <x:v>0</x:v>
      </x:c>
      <x:c r="L66" s="5" t="n">
        <x:v>0</x:v>
      </x:c>
      <x:c r="M66" s="5" t="n">
        <x:v>0</x:v>
      </x:c>
      <x:c r="N66" s="5" t="n">
        <x:v>0</x:v>
      </x:c>
      <x:c r="O66" s="5" t="n">
        <x:v>0</x:v>
      </x:c>
      <x:c r="P66" s="5" t="n">
        <x:v>0</x:v>
      </x:c>
      <x:c r="Q66" s="2" t="n">
        <x:v>0</x:v>
      </x:c>
    </x:row>
    <x:row r="67" ht="20" customHeight="1">
      <x:c r="A67" s="2" t="n">
        <x:v>4</x:v>
      </x:c>
      <x:c r="B67" s="2" t="str">
        <x:v>low</x:v>
      </x:c>
      <x:c r="C67" s="2" t="n">
        <x:v>4</x:v>
      </x:c>
      <x:c r="D67" s="2" t="n">
        <x:v>0</x:v>
      </x:c>
      <x:c r="E67" s="5" t="n">
        <x:v>0</x:v>
      </x:c>
      <x:c r="F67" s="5" t="n">
        <x:v>285651.89</x:v>
      </x:c>
      <x:c r="G67" s="5" t="n">
        <x:v>0</x:v>
      </x:c>
      <x:c r="H67" s="5" t="n">
        <x:v>0</x:v>
      </x:c>
      <x:c r="I67" s="5" t="n">
        <x:v>0</x:v>
      </x:c>
      <x:c r="J67" s="5" t="n">
        <x:v>0</x:v>
      </x:c>
      <x:c r="K67" s="5" t="n">
        <x:v>285651.89</x:v>
      </x:c>
      <x:c r="L67" s="5" t="n">
        <x:v>190</x:v>
      </x:c>
      <x:c r="M67" s="5" t="n">
        <x:v>0</x:v>
      </x:c>
      <x:c r="N67" s="5" t="n">
        <x:v>190</x:v>
      </x:c>
      <x:c r="O67" s="5" t="n">
        <x:v>5713.0378</x:v>
      </x:c>
      <x:c r="P67" s="5" t="n">
        <x:v>4750</x:v>
      </x:c>
      <x:c r="Q67" s="2" t="n">
        <x:v>0</x:v>
      </x:c>
    </x:row>
    <x:row r="68" ht="20" customHeight="1">
      <x:c r="A68" s="2" t="n">
        <x:v>4</x:v>
      </x:c>
      <x:c r="B68" s="2" t="str">
        <x:v>low</x:v>
      </x:c>
      <x:c r="C68" s="2" t="n">
        <x:v>5</x:v>
      </x:c>
      <x:c r="D68" s="2" t="n">
        <x:v>1</x:v>
      </x:c>
      <x:c r="E68" s="5" t="n">
        <x:v>285651.89</x:v>
      </x:c>
      <x:c r="F68" s="5" t="n">
        <x:v>0</x:v>
      </x:c>
      <x:c r="G68" s="5" t="n">
        <x:v>21866.93961020648</x:v>
      </x:c>
      <x:c r="H68" s="5" t="n">
        <x:v>4277.570742008408</x:v>
      </x:c>
      <x:c r="I68" s="5" t="n">
        <x:v>480.5071994394727</x:v>
      </x:c>
      <x:c r="J68" s="5" t="n">
        <x:v>0</x:v>
      </x:c>
      <x:c r="K68" s="5" t="n">
        <x:v>263304.44319035404</x:v>
      </x:c>
      <x:c r="L68" s="5" t="n">
        <x:v>189.68039291497948</x:v>
      </x:c>
      <x:c r="M68" s="5" t="n">
        <x:v>0.31960708502051155</x:v>
      </x:c>
      <x:c r="N68" s="5" t="n">
        <x:v>0</x:v>
      </x:c>
      <x:c r="O68" s="5" t="n">
        <x:v>0</x:v>
      </x:c>
      <x:c r="P68" s="5" t="n">
        <x:v>0</x:v>
      </x:c>
      <x:c r="Q68" s="2" t="n">
        <x:v>189.68039291497948</x:v>
      </x:c>
    </x:row>
    <x:row r="69" ht="20" customHeight="1">
      <x:c r="A69" s="2" t="n">
        <x:v>4</x:v>
      </x:c>
      <x:c r="B69" s="2" t="str">
        <x:v>low</x:v>
      </x:c>
      <x:c r="C69" s="2" t="n">
        <x:v>6</x:v>
      </x:c>
      <x:c r="D69" s="2" t="n">
        <x:v>2</x:v>
      </x:c>
      <x:c r="E69" s="5" t="n">
        <x:v>263304.44319035404</x:v>
      </x:c>
      <x:c r="F69" s="5" t="n">
        <x:v>0</x:v>
      </x:c>
      <x:c r="G69" s="5" t="n">
        <x:v>22157.608645098815</x:v>
      </x:c>
      <x:c r="H69" s="5" t="n">
        <x:v>3942.9229137320726</x:v>
      </x:c>
      <x:c r="I69" s="5" t="n">
        <x:v>442.9156082158839</x:v>
      </x:c>
      <x:c r="J69" s="5" t="n">
        <x:v>0</x:v>
      </x:c>
      <x:c r="K69" s="5" t="n">
        <x:v>240703.91893703936</x:v>
      </x:c>
      <x:c r="L69" s="5" t="n">
        <x:v>189.36132345463685</x:v>
      </x:c>
      <x:c r="M69" s="5" t="n">
        <x:v>0.3190694603426415</x:v>
      </x:c>
      <x:c r="N69" s="5" t="n">
        <x:v>0</x:v>
      </x:c>
      <x:c r="O69" s="5" t="n">
        <x:v>0</x:v>
      </x:c>
      <x:c r="P69" s="5" t="n">
        <x:v>0</x:v>
      </x:c>
      <x:c r="Q69" s="2" t="n">
        <x:v>189.36132345463685</x:v>
      </x:c>
    </x:row>
    <x:row r="70" ht="20" customHeight="1">
      <x:c r="A70" s="2" t="n">
        <x:v>4</x:v>
      </x:c>
      <x:c r="B70" s="2" t="str">
        <x:v>low</x:v>
      </x:c>
      <x:c r="C70" s="2" t="n">
        <x:v>7</x:v>
      </x:c>
      <x:c r="D70" s="2" t="n">
        <x:v>3</x:v>
      </x:c>
      <x:c r="E70" s="5" t="n">
        <x:v>240703.91893703936</x:v>
      </x:c>
      <x:c r="F70" s="5" t="n">
        <x:v>0</x:v>
      </x:c>
      <x:c r="G70" s="5" t="n">
        <x:v>22452.141434560894</x:v>
      </x:c>
      <x:c r="H70" s="5" t="n">
        <x:v>3604.4853094857626</x:v>
      </x:c>
      <x:c r="I70" s="5" t="n">
        <x:v>404.8983046551613</x:v>
      </x:c>
      <x:c r="J70" s="5" t="n">
        <x:v>0</x:v>
      </x:c>
      <x:c r="K70" s="5" t="n">
        <x:v>217846.8791978233</x:v>
      </x:c>
      <x:c r="L70" s="5" t="n">
        <x:v>189.04279071461073</x:v>
      </x:c>
      <x:c r="M70" s="5" t="n">
        <x:v>0.3185327400261195</x:v>
      </x:c>
      <x:c r="N70" s="5" t="n">
        <x:v>0</x:v>
      </x:c>
      <x:c r="O70" s="5" t="n">
        <x:v>0</x:v>
      </x:c>
      <x:c r="P70" s="5" t="n">
        <x:v>0</x:v>
      </x:c>
      <x:c r="Q70" s="2" t="n">
        <x:v>189.04279071461073</x:v>
      </x:c>
    </x:row>
    <x:row r="71" ht="20" customHeight="1">
      <x:c r="A71" s="2" t="n">
        <x:v>4</x:v>
      </x:c>
      <x:c r="B71" s="2" t="str">
        <x:v>low</x:v>
      </x:c>
      <x:c r="C71" s="2" t="n">
        <x:v>8</x:v>
      </x:c>
      <x:c r="D71" s="2" t="n">
        <x:v>4</x:v>
      </x:c>
      <x:c r="E71" s="5" t="n">
        <x:v>217846.8791978233</x:v>
      </x:c>
      <x:c r="F71" s="5" t="n">
        <x:v>0</x:v>
      </x:c>
      <x:c r="G71" s="5" t="n">
        <x:v>22750.589338034497</x:v>
      </x:c>
      <x:c r="H71" s="5" t="n">
        <x:v>3262.2064453851467</x:v>
      </x:c>
      <x:c r="I71" s="5" t="n">
        <x:v>366.44950548016743</x:v>
      </x:c>
      <x:c r="J71" s="5" t="n">
        <x:v>120.12679985986817</x:v>
      </x:c>
      <x:c r="K71" s="5" t="n">
        <x:v>194729.84035430863</x:v>
      </x:c>
      <x:c r="L71" s="5" t="n">
        <x:v>188.72479379206104</x:v>
      </x:c>
      <x:c r="M71" s="5" t="n">
        <x:v>0.3179969225496808</x:v>
      </x:c>
      <x:c r="N71" s="5" t="n">
        <x:v>0</x:v>
      </x:c>
      <x:c r="O71" s="5" t="n">
        <x:v>0</x:v>
      </x:c>
      <x:c r="P71" s="5" t="n">
        <x:v>0</x:v>
      </x:c>
      <x:c r="Q71" s="2" t="n">
        <x:v>188.72479379206104</x:v>
      </x:c>
    </x:row>
    <x:row r="72" ht="20" customHeight="1">
      <x:c r="A72" s="2" t="n">
        <x:v>4</x:v>
      </x:c>
      <x:c r="B72" s="2" t="str">
        <x:v>low</x:v>
      </x:c>
      <x:c r="C72" s="2" t="n">
        <x:v>9</x:v>
      </x:c>
      <x:c r="D72" s="2" t="n">
        <x:v>5</x:v>
      </x:c>
      <x:c r="E72" s="5" t="n">
        <x:v>194729.84035430863</x:v>
      </x:c>
      <x:c r="F72" s="5" t="n">
        <x:v>0</x:v>
      </x:c>
      <x:c r="G72" s="5" t="n">
        <x:v>23053.004397663226</x:v>
      </x:c>
      <x:c r="H72" s="5" t="n">
        <x:v>2916.034155053407</x:v>
      </x:c>
      <x:c r="I72" s="5" t="n">
        <x:v>327.5633507481587</x:v>
      </x:c>
      <x:c r="J72" s="5" t="n">
        <x:v>110.72890205397097</x:v>
      </x:c>
      <x:c r="K72" s="5" t="n">
        <x:v>171349.27260589725</x:v>
      </x:c>
      <x:c r="L72" s="5" t="n">
        <x:v>188.40733178566643</x:v>
      </x:c>
      <x:c r="M72" s="5" t="n">
        <x:v>0.3174620063946198</x:v>
      </x:c>
      <x:c r="N72" s="5" t="n">
        <x:v>0</x:v>
      </x:c>
      <x:c r="O72" s="5" t="n">
        <x:v>0</x:v>
      </x:c>
      <x:c r="P72" s="5" t="n">
        <x:v>0</x:v>
      </x:c>
      <x:c r="Q72" s="2" t="n">
        <x:v>188.40733178566643</x:v>
      </x:c>
    </x:row>
    <x:row r="73" ht="20" customHeight="1">
      <x:c r="A73" s="2" t="n">
        <x:v>4</x:v>
      </x:c>
      <x:c r="B73" s="2" t="str">
        <x:v>low</x:v>
      </x:c>
      <x:c r="C73" s="2" t="n">
        <x:v>10</x:v>
      </x:c>
      <x:c r="D73" s="2" t="n">
        <x:v>6</x:v>
      </x:c>
      <x:c r="E73" s="5" t="n">
        <x:v>171349.27260589725</x:v>
      </x:c>
      <x:c r="F73" s="5" t="n">
        <x:v>0</x:v>
      </x:c>
      <x:c r="G73" s="5" t="n">
        <x:v>23359.439347367384</x:v>
      </x:c>
      <x:c r="H73" s="5" t="n">
        <x:v>2565.9155805459886</x:v>
      </x:c>
      <x:c r="I73" s="5" t="n">
        <x:v>288.23390283134637</x:v>
      </x:c>
      <x:c r="J73" s="5" t="n">
        <x:v>101.22457616379033</x:v>
      </x:c>
      <x:c r="K73" s="5" t="n">
        <x:v>147701.5993556985</x:v>
      </x:c>
      <x:c r="L73" s="5" t="n">
        <x:v>188.09040379562165</x:v>
      </x:c>
      <x:c r="M73" s="5" t="n">
        <x:v>0.31692799004478533</x:v>
      </x:c>
      <x:c r="N73" s="5" t="n">
        <x:v>0</x:v>
      </x:c>
      <x:c r="O73" s="5" t="n">
        <x:v>0</x:v>
      </x:c>
      <x:c r="P73" s="5" t="n">
        <x:v>0</x:v>
      </x:c>
      <x:c r="Q73" s="2" t="n">
        <x:v>188.09040379562165</x:v>
      </x:c>
    </x:row>
    <x:row r="74" ht="20" customHeight="1">
      <x:c r="A74" s="2" t="n">
        <x:v>4</x:v>
      </x:c>
      <x:c r="B74" s="2" t="str">
        <x:v>low</x:v>
      </x:c>
      <x:c r="C74" s="2" t="n">
        <x:v>11</x:v>
      </x:c>
      <x:c r="D74" s="2" t="n">
        <x:v>7</x:v>
      </x:c>
      <x:c r="E74" s="5" t="n">
        <x:v>147701.5993556985</x:v>
      </x:c>
      <x:c r="F74" s="5" t="n">
        <x:v>0</x:v>
      </x:c>
      <x:c r="G74" s="5" t="n">
        <x:v>23669.947622039534</x:v>
      </x:c>
      <x:c r="H74" s="5" t="n">
        <x:v>2211.7971631547193</x:v>
      </x:c>
      <x:c r="I74" s="5" t="n">
        <x:v>248.45514538390668</x:v>
      </x:c>
      <x:c r="J74" s="5" t="n">
        <x:v>91.61237637004186</x:v>
      </x:c>
      <x:c r="K74" s="5" t="n">
        <x:v>123783.19658827507</x:v>
      </x:c>
      <x:c r="L74" s="5" t="n">
        <x:v>187.77400892363505</x:v>
      </x:c>
      <x:c r="M74" s="5" t="n">
        <x:v>0.3163948719865768</x:v>
      </x:c>
      <x:c r="N74" s="5" t="n">
        <x:v>0</x:v>
      </x:c>
      <x:c r="O74" s="5" t="n">
        <x:v>0</x:v>
      </x:c>
      <x:c r="P74" s="5" t="n">
        <x:v>0</x:v>
      </x:c>
      <x:c r="Q74" s="2" t="n">
        <x:v>187.77400892363505</x:v>
      </x:c>
    </x:row>
    <x:row r="75" ht="20" customHeight="1">
      <x:c r="A75" s="2" t="n">
        <x:v>4</x:v>
      </x:c>
      <x:c r="B75" s="2" t="str">
        <x:v>low</x:v>
      </x:c>
      <x:c r="C75" s="2" t="n">
        <x:v>12</x:v>
      </x:c>
      <x:c r="D75" s="2" t="n">
        <x:v>8</x:v>
      </x:c>
      <x:c r="E75" s="5" t="n">
        <x:v>123783.19658827507</x:v>
      </x:c>
      <x:c r="F75" s="5" t="n">
        <x:v>0</x:v>
      </x:c>
      <x:c r="G75" s="5" t="n">
        <x:v>23984.583366862236</x:v>
      </x:c>
      <x:c r="H75" s="5" t="n">
        <x:v>1853.624634089697</x:v>
      </x:c>
      <x:c r="I75" s="5" t="n">
        <x:v>208.22098229526065</x:v>
      </x:c>
      <x:c r="J75" s="5" t="n">
        <x:v>81.89083768703968</x:v>
      </x:c>
      <x:c r="K75" s="5" t="n">
        <x:v>99590.39223911757</x:v>
      </x:c>
      <x:c r="L75" s="5" t="n">
        <x:v>187.45814627292611</x:v>
      </x:c>
      <x:c r="M75" s="5" t="n">
        <x:v>0.3158626507089396</x:v>
      </x:c>
      <x:c r="N75" s="5" t="n">
        <x:v>0</x:v>
      </x:c>
      <x:c r="O75" s="5" t="n">
        <x:v>0</x:v>
      </x:c>
      <x:c r="P75" s="5" t="n">
        <x:v>0</x:v>
      </x:c>
      <x:c r="Q75" s="2" t="n">
        <x:v>187.45814627292611</x:v>
      </x:c>
    </x:row>
    <x:row r="76" ht="20" customHeight="1">
      <x:c r="A76" s="2" t="n">
        <x:v>4</x:v>
      </x:c>
      <x:c r="B76" s="2" t="str">
        <x:v>low</x:v>
      </x:c>
      <x:c r="C76" s="2" t="n">
        <x:v>13</x:v>
      </x:c>
      <x:c r="D76" s="2" t="n">
        <x:v>9</x:v>
      </x:c>
      <x:c r="E76" s="5" t="n">
        <x:v>99590.39223911757</x:v>
      </x:c>
      <x:c r="F76" s="5" t="n">
        <x:v>0</x:v>
      </x:c>
      <x:c r="G76" s="5" t="n">
        <x:v>24303.401446749675</x:v>
      </x:c>
      <x:c r="H76" s="5" t="n">
        <x:v>1491.343005037322</x:v>
      </x:c>
      <x:c r="I76" s="5" t="n">
        <x:v>167.52523662944074</x:v>
      </x:c>
      <x:c r="J76" s="5" t="n">
        <x:v>72.05847570783659</x:v>
      </x:c>
      <x:c r="K76" s="5" t="n">
        <x:v>75119.46555573845</x:v>
      </x:c>
      <x:c r="L76" s="5" t="n">
        <x:v>187.14281494822276</x:v>
      </x:c>
      <x:c r="M76" s="5" t="n">
        <x:v>0.315331324703361</x:v>
      </x:c>
      <x:c r="N76" s="5" t="n">
        <x:v>0</x:v>
      </x:c>
      <x:c r="O76" s="5" t="n">
        <x:v>0</x:v>
      </x:c>
      <x:c r="P76" s="5" t="n">
        <x:v>0</x:v>
      </x:c>
      <x:c r="Q76" s="2" t="n">
        <x:v>187.14281494822276</x:v>
      </x:c>
    </x:row>
    <x:row r="77" ht="20" customHeight="1">
      <x:c r="A77" s="2" t="n">
        <x:v>4</x:v>
      </x:c>
      <x:c r="B77" s="2" t="str">
        <x:v>low</x:v>
      </x:c>
      <x:c r="C77" s="2" t="n">
        <x:v>14</x:v>
      </x:c>
      <x:c r="D77" s="2" t="n">
        <x:v>10</x:v>
      </x:c>
      <x:c r="E77" s="5" t="n">
        <x:v>75119.46555573845</x:v>
      </x:c>
      <x:c r="F77" s="5" t="n">
        <x:v>0</x:v>
      </x:c>
      <x:c r="G77" s="5" t="n">
        <x:v>24626.457455914784</x:v>
      </x:c>
      <x:c r="H77" s="5" t="n">
        <x:v>1124.8965585928215</x:v>
      </x:c>
      <x:c r="I77" s="5" t="n">
        <x:v>126.36164955035942</x:v>
      </x:c>
      <x:c r="J77" s="5" t="n">
        <x:v>62.11378634597667</x:v>
      </x:c>
      <x:c r="K77" s="5" t="n">
        <x:v>50366.646450273314</x:v>
      </x:c>
      <x:c r="L77" s="5" t="n">
        <x:v>186.8280140557589</x:v>
      </x:c>
      <x:c r="M77" s="5" t="n">
        <x:v>0.3148008924638657</x:v>
      </x:c>
      <x:c r="N77" s="5" t="n">
        <x:v>0</x:v>
      </x:c>
      <x:c r="O77" s="5" t="n">
        <x:v>0</x:v>
      </x:c>
      <x:c r="P77" s="5" t="n">
        <x:v>0</x:v>
      </x:c>
      <x:c r="Q77" s="2" t="n">
        <x:v>186.8280140557589</x:v>
      </x:c>
    </x:row>
    <x:row r="78" ht="20" customHeight="1">
      <x:c r="A78" s="2" t="n">
        <x:v>4</x:v>
      </x:c>
      <x:c r="B78" s="2" t="str">
        <x:v>low</x:v>
      </x:c>
      <x:c r="C78" s="2" t="n">
        <x:v>15</x:v>
      </x:c>
      <x:c r="D78" s="2" t="n">
        <x:v>11</x:v>
      </x:c>
      <x:c r="E78" s="5" t="n">
        <x:v>50366.646450273314</x:v>
      </x:c>
      <x:c r="F78" s="5" t="n">
        <x:v>0</x:v>
      </x:c>
      <x:c r="G78" s="5" t="n">
        <x:v>24953.807727563533</x:v>
      </x:c>
      <x:c r="H78" s="5" t="n">
        <x:v>754.2288385656078</x:v>
      </x:c>
      <x:c r="I78" s="5" t="n">
        <x:v>84.72387923279236</x:v>
      </x:c>
      <x:c r="J78" s="5" t="n">
        <x:v>52.055245573815164</x:v>
      </x:c>
      <x:c r="K78" s="5" t="n">
        <x:v>25328.114843476986</x:v>
      </x:c>
      <x:c r="L78" s="5" t="n">
        <x:v>186.51374270327187</x:v>
      </x:c>
      <x:c r="M78" s="5" t="n">
        <x:v>0.3142713524870119</x:v>
      </x:c>
      <x:c r="N78" s="5" t="n">
        <x:v>0</x:v>
      </x:c>
      <x:c r="O78" s="5" t="n">
        <x:v>0</x:v>
      </x:c>
      <x:c r="P78" s="5" t="n">
        <x:v>0</x:v>
      </x:c>
      <x:c r="Q78" s="2" t="n">
        <x:v>186.51374270327187</x:v>
      </x:c>
    </x:row>
    <x:row r="79" ht="20" customHeight="1">
      <x:c r="A79" s="2" t="n">
        <x:v>4</x:v>
      </x:c>
      <x:c r="B79" s="2" t="str">
        <x:v>low</x:v>
      </x:c>
      <x:c r="C79" s="2" t="n">
        <x:v>16</x:v>
      </x:c>
      <x:c r="D79" s="2" t="n">
        <x:v>12</x:v>
      </x:c>
      <x:c r="E79" s="5" t="n">
        <x:v>25328.114843476986</x:v>
      </x:c>
      <x:c r="F79" s="5" t="n">
        <x:v>0</x:v>
      </x:c>
      <x:c r="G79" s="5" t="n">
        <x:v>25285.509343718102</x:v>
      </x:c>
      <x:c r="H79" s="5" t="n">
        <x:v>379.2826401557715</x:v>
      </x:c>
      <x:c r="I79" s="5" t="n">
        <x:v>42.605499758886474</x:v>
      </x:c>
      <x:c r="J79" s="5" t="n">
        <x:v>41.881309157360185</x:v>
      </x:c>
      <x:c r="K79" s="5" t="n">
        <x:v>0</x:v>
      </x:c>
      <x:c r="L79" s="5" t="n">
        <x:v>0</x:v>
      </x:c>
      <x:c r="M79" s="5" t="n">
        <x:v>0.31374270327188647</x:v>
      </x:c>
      <x:c r="N79" s="5" t="n">
        <x:v>0</x:v>
      </x:c>
      <x:c r="O79" s="5" t="n">
        <x:v>0</x:v>
      </x:c>
      <x:c r="P79" s="5" t="n">
        <x:v>0</x:v>
      </x:c>
      <x:c r="Q79" s="2" t="n">
        <x:v>186.2</x:v>
      </x:c>
    </x:row>
    <x:row r="80" ht="20" customHeight="1">
      <x:c r="A80" s="2" t="n">
        <x:v>4</x:v>
      </x:c>
      <x:c r="B80" s="2" t="str">
        <x:v>low</x:v>
      </x:c>
      <x:c r="C80" s="2" t="n">
        <x:v>17</x:v>
      </x:c>
      <x:c r="D80" s="2" t="n">
        <x:v>13</x:v>
      </x:c>
      <x:c r="E80" s="5" t="n">
        <x:v>0</x:v>
      </x:c>
      <x:c r="F80" s="5" t="n">
        <x:v>0</x:v>
      </x:c>
      <x:c r="G80" s="5" t="n">
        <x:v>0</x:v>
      </x:c>
      <x:c r="H80" s="5" t="n">
        <x:v>0</x:v>
      </x:c>
      <x:c r="I80" s="5" t="n">
        <x:v>0</x:v>
      </x:c>
      <x:c r="J80" s="5" t="n">
        <x:v>31.590412387589854</x:v>
      </x:c>
      <x:c r="K80" s="5" t="n">
        <x:v>0</x:v>
      </x:c>
      <x:c r="L80" s="5" t="n">
        <x:v>0</x:v>
      </x:c>
      <x:c r="M80" s="5" t="n">
        <x:v>0</x:v>
      </x:c>
      <x:c r="N80" s="5" t="n">
        <x:v>0</x:v>
      </x:c>
      <x:c r="O80" s="5" t="n">
        <x:v>0</x:v>
      </x:c>
      <x:c r="P80" s="5" t="n">
        <x:v>0</x:v>
      </x:c>
      <x:c r="Q80" s="2" t="n">
        <x:v>0</x:v>
      </x:c>
    </x:row>
    <x:row r="81" ht="20" customHeight="1">
      <x:c r="A81" s="2" t="n">
        <x:v>4</x:v>
      </x:c>
      <x:c r="B81" s="2" t="str">
        <x:v>low</x:v>
      </x:c>
      <x:c r="C81" s="2" t="n">
        <x:v>18</x:v>
      </x:c>
      <x:c r="D81" s="2" t="n">
        <x:v>14</x:v>
      </x:c>
      <x:c r="E81" s="5" t="n">
        <x:v>0</x:v>
      </x:c>
      <x:c r="F81" s="5" t="n">
        <x:v>0</x:v>
      </x:c>
      <x:c r="G81" s="5" t="n">
        <x:v>0</x:v>
      </x:c>
      <x:c r="H81" s="5" t="n">
        <x:v>0</x:v>
      </x:c>
      <x:c r="I81" s="5" t="n">
        <x:v>0</x:v>
      </x:c>
      <x:c r="J81" s="5" t="n">
        <x:v>21.18096980819809</x:v>
      </x:c>
      <x:c r="K81" s="5" t="n">
        <x:v>0</x:v>
      </x:c>
      <x:c r="L81" s="5" t="n">
        <x:v>0</x:v>
      </x:c>
      <x:c r="M81" s="5" t="n">
        <x:v>0</x:v>
      </x:c>
      <x:c r="N81" s="5" t="n">
        <x:v>0</x:v>
      </x:c>
      <x:c r="O81" s="5" t="n">
        <x:v>0</x:v>
      </x:c>
      <x:c r="P81" s="5" t="n">
        <x:v>0</x:v>
      </x:c>
      <x:c r="Q81" s="2" t="n">
        <x:v>0</x:v>
      </x:c>
    </x:row>
    <x:row r="82" ht="20" customHeight="1">
      <x:c r="A82" s="2" t="n">
        <x:v>4</x:v>
      </x:c>
      <x:c r="B82" s="2" t="str">
        <x:v>low</x:v>
      </x:c>
      <x:c r="C82" s="2" t="n">
        <x:v>19</x:v>
      </x:c>
      <x:c r="D82" s="2" t="n">
        <x:v>15</x:v>
      </x:c>
      <x:c r="E82" s="5" t="n">
        <x:v>0</x:v>
      </x:c>
      <x:c r="F82" s="5" t="n">
        <x:v>0</x:v>
      </x:c>
      <x:c r="G82" s="5" t="n">
        <x:v>0</x:v>
      </x:c>
      <x:c r="H82" s="5" t="n">
        <x:v>0</x:v>
      </x:c>
      <x:c r="I82" s="5" t="n">
        <x:v>0</x:v>
      </x:c>
      <x:c r="J82" s="5" t="n">
        <x:v>10.651374939721618</x:v>
      </x:c>
      <x:c r="K82" s="5" t="n">
        <x:v>0</x:v>
      </x:c>
      <x:c r="L82" s="5" t="n">
        <x:v>0</x:v>
      </x:c>
      <x:c r="M82" s="5" t="n">
        <x:v>0</x:v>
      </x:c>
      <x:c r="N82" s="5" t="n">
        <x:v>0</x:v>
      </x:c>
      <x:c r="O82" s="5" t="n">
        <x:v>0</x:v>
      </x:c>
      <x:c r="P82" s="5" t="n">
        <x:v>0</x:v>
      </x:c>
      <x:c r="Q82" s="2" t="n">
        <x:v>0</x:v>
      </x:c>
    </x:row>
    <x:row r="83" ht="20" customHeight="1">
      <x:c r="A83" s="2" t="n">
        <x:v>5</x:v>
      </x:c>
      <x:c r="B83" s="2" t="str">
        <x:v>low</x:v>
      </x:c>
      <x:c r="C83" s="2" t="n">
        <x:v>5</x:v>
      </x:c>
      <x:c r="D83" s="2" t="n">
        <x:v>0</x:v>
      </x:c>
      <x:c r="E83" s="5" t="n">
        <x:v>0</x:v>
      </x:c>
      <x:c r="F83" s="5" t="n">
        <x:v>251214.84</x:v>
      </x:c>
      <x:c r="G83" s="5" t="n">
        <x:v>0</x:v>
      </x:c>
      <x:c r="H83" s="5" t="n">
        <x:v>0</x:v>
      </x:c>
      <x:c r="I83" s="5" t="n">
        <x:v>0</x:v>
      </x:c>
      <x:c r="J83" s="5" t="n">
        <x:v>0</x:v>
      </x:c>
      <x:c r="K83" s="5" t="n">
        <x:v>251214.84</x:v>
      </x:c>
      <x:c r="L83" s="5" t="n">
        <x:v>180</x:v>
      </x:c>
      <x:c r="M83" s="5" t="n">
        <x:v>0</x:v>
      </x:c>
      <x:c r="N83" s="5" t="n">
        <x:v>180</x:v>
      </x:c>
      <x:c r="O83" s="5" t="n">
        <x:v>5024.2968</x:v>
      </x:c>
      <x:c r="P83" s="5" t="n">
        <x:v>4500</x:v>
      </x:c>
      <x:c r="Q83" s="2" t="n">
        <x:v>0</x:v>
      </x:c>
    </x:row>
    <x:row r="84" ht="20" customHeight="1">
      <x:c r="A84" s="2" t="n">
        <x:v>5</x:v>
      </x:c>
      <x:c r="B84" s="2" t="str">
        <x:v>low</x:v>
      </x:c>
      <x:c r="C84" s="2" t="n">
        <x:v>6</x:v>
      </x:c>
      <x:c r="D84" s="2" t="n">
        <x:v>1</x:v>
      </x:c>
      <x:c r="E84" s="5" t="n">
        <x:v>251214.84</x:v>
      </x:c>
      <x:c r="F84" s="5" t="n">
        <x:v>0</x:v>
      </x:c>
      <x:c r="G84" s="5" t="n">
        <x:v>19230.748781209477</x:v>
      </x:c>
      <x:c r="H84" s="5" t="n">
        <x:v>3761.883912416345</x:v>
      </x:c>
      <x:c r="I84" s="5" t="n">
        <x:v>422.5791722436537</x:v>
      </x:c>
      <x:c r="J84" s="5" t="n">
        <x:v>0</x:v>
      </x:c>
      <x:c r="K84" s="5" t="n">
        <x:v>231561.51204654688</x:v>
      </x:c>
      <x:c r="L84" s="5" t="n">
        <x:v>179.6972143405069</x:v>
      </x:c>
      <x:c r="M84" s="5" t="n">
        <x:v>0.3027856594931162</x:v>
      </x:c>
      <x:c r="N84" s="5" t="n">
        <x:v>0</x:v>
      </x:c>
      <x:c r="O84" s="5" t="n">
        <x:v>0</x:v>
      </x:c>
      <x:c r="P84" s="5" t="n">
        <x:v>0</x:v>
      </x:c>
      <x:c r="Q84" s="2" t="n">
        <x:v>179.6972143405069</x:v>
      </x:c>
    </x:row>
    <x:row r="85" ht="20" customHeight="1">
      <x:c r="A85" s="2" t="n">
        <x:v>5</x:v>
      </x:c>
      <x:c r="B85" s="2" t="str">
        <x:v>low</x:v>
      </x:c>
      <x:c r="C85" s="2" t="n">
        <x:v>7</x:v>
      </x:c>
      <x:c r="D85" s="2" t="n">
        <x:v>2</x:v>
      </x:c>
      <x:c r="E85" s="5" t="n">
        <x:v>231561.51204654688</x:v>
      </x:c>
      <x:c r="F85" s="5" t="n">
        <x:v>0</x:v>
      </x:c>
      <x:c r="G85" s="5" t="n">
        <x:v>19486.37591916901</x:v>
      </x:c>
      <x:c r="H85" s="5" t="n">
        <x:v>3467.57988860335</x:v>
      </x:c>
      <x:c r="I85" s="5" t="n">
        <x:v>389.5194729902048</x:v>
      </x:c>
      <x:c r="J85" s="5" t="n">
        <x:v>0</x:v>
      </x:c>
      <x:c r="K85" s="5" t="n">
        <x:v>211685.61665438765</x:v>
      </x:c>
      <x:c r="L85" s="5" t="n">
        <x:v>179.39493800965596</x:v>
      </x:c>
      <x:c r="M85" s="5" t="n">
        <x:v>0.30227633085092354</x:v>
      </x:c>
      <x:c r="N85" s="5" t="n">
        <x:v>0</x:v>
      </x:c>
      <x:c r="O85" s="5" t="n">
        <x:v>0</x:v>
      </x:c>
      <x:c r="P85" s="5" t="n">
        <x:v>0</x:v>
      </x:c>
      <x:c r="Q85" s="2" t="n">
        <x:v>179.39493800965596</x:v>
      </x:c>
    </x:row>
    <x:row r="86" ht="20" customHeight="1">
      <x:c r="A86" s="2" t="n">
        <x:v>5</x:v>
      </x:c>
      <x:c r="B86" s="2" t="str">
        <x:v>low</x:v>
      </x:c>
      <x:c r="C86" s="2" t="n">
        <x:v>8</x:v>
      </x:c>
      <x:c r="D86" s="2" t="n">
        <x:v>3</x:v>
      </x:c>
      <x:c r="E86" s="5" t="n">
        <x:v>211685.61665438765</x:v>
      </x:c>
      <x:c r="F86" s="5" t="n">
        <x:v>0</x:v>
      </x:c>
      <x:c r="G86" s="5" t="n">
        <x:v>19745.40101289225</x:v>
      </x:c>
      <x:c r="H86" s="5" t="n">
        <x:v>3169.942969062156</x:v>
      </x:c>
      <x:c r="I86" s="5" t="n">
        <x:v>356.08538357725416</x:v>
      </x:c>
      <x:c r="J86" s="5" t="n">
        <x:v>0</x:v>
      </x:c>
      <x:c r="K86" s="5" t="n">
        <x:v>191584.13025791815</x:v>
      </x:c>
      <x:c r="L86" s="5" t="n">
        <x:v>179.09317015068385</x:v>
      </x:c>
      <x:c r="M86" s="5" t="n">
        <x:v>0.3017678589721132</x:v>
      </x:c>
      <x:c r="N86" s="5" t="n">
        <x:v>0</x:v>
      </x:c>
      <x:c r="O86" s="5" t="n">
        <x:v>0</x:v>
      </x:c>
      <x:c r="P86" s="5" t="n">
        <x:v>0</x:v>
      </x:c>
      <x:c r="Q86" s="2" t="n">
        <x:v>179.09317015068385</x:v>
      </x:c>
    </x:row>
    <x:row r="87" ht="20" customHeight="1">
      <x:c r="A87" s="2" t="n">
        <x:v>5</x:v>
      </x:c>
      <x:c r="B87" s="2" t="str">
        <x:v>low</x:v>
      </x:c>
      <x:c r="C87" s="2" t="n">
        <x:v>9</x:v>
      </x:c>
      <x:c r="D87" s="2" t="n">
        <x:v>4</x:v>
      </x:c>
      <x:c r="E87" s="5" t="n">
        <x:v>191584.13025791815</x:v>
      </x:c>
      <x:c r="F87" s="5" t="n">
        <x:v>0</x:v>
      </x:c>
      <x:c r="G87" s="5" t="n">
        <x:v>20007.86923013197</x:v>
      </x:c>
      <x:c r="H87" s="5" t="n">
        <x:v>2868.9278765997256</x:v>
      </x:c>
      <x:c r="I87" s="5" t="n">
        <x:v>322.2718179364379</x:v>
      </x:c>
      <x:c r="J87" s="5" t="n">
        <x:v>105.64479306091343</x:v>
      </x:c>
      <x:c r="K87" s="5" t="n">
        <x:v>171253.98920984974</x:v>
      </x:c>
      <x:c r="L87" s="5" t="n">
        <x:v>178.79190990826837</x:v>
      </x:c>
      <x:c r="M87" s="5" t="n">
        <x:v>0.3012602424154871</x:v>
      </x:c>
      <x:c r="N87" s="5" t="n">
        <x:v>0</x:v>
      </x:c>
      <x:c r="O87" s="5" t="n">
        <x:v>0</x:v>
      </x:c>
      <x:c r="P87" s="5" t="n">
        <x:v>0</x:v>
      </x:c>
      <x:c r="Q87" s="2" t="n">
        <x:v>178.79190990826837</x:v>
      </x:c>
    </x:row>
    <x:row r="88" ht="20" customHeight="1">
      <x:c r="A88" s="2" t="n">
        <x:v>5</x:v>
      </x:c>
      <x:c r="B88" s="2" t="str">
        <x:v>low</x:v>
      </x:c>
      <x:c r="C88" s="2" t="n">
        <x:v>10</x:v>
      </x:c>
      <x:c r="D88" s="2" t="n">
        <x:v>5</x:v>
      </x:c>
      <x:c r="E88" s="5" t="n">
        <x:v>171253.98920984974</x:v>
      </x:c>
      <x:c r="F88" s="5" t="n">
        <x:v>0</x:v>
      </x:c>
      <x:c r="G88" s="5" t="n">
        <x:v>20273.826339038973</x:v>
      </x:c>
      <x:c r="H88" s="5" t="n">
        <x:v>2564.4887338091016</x:v>
      </x:c>
      <x:c r="I88" s="5" t="n">
        <x:v>288.07362257628535</x:v>
      </x:c>
      <x:c r="J88" s="5" t="n">
        <x:v>97.3798682475512</x:v>
      </x:c>
      <x:c r="K88" s="5" t="n">
        <x:v>150692.0892482345</x:v>
      </x:c>
      <x:c r="L88" s="5" t="n">
        <x:v>178.4911564285261</x:v>
      </x:c>
      <x:c r="M88" s="5" t="n">
        <x:v>0.3007534797422714</x:v>
      </x:c>
      <x:c r="N88" s="5" t="n">
        <x:v>0</x:v>
      </x:c>
      <x:c r="O88" s="5" t="n">
        <x:v>0</x:v>
      </x:c>
      <x:c r="P88" s="5" t="n">
        <x:v>0</x:v>
      </x:c>
      <x:c r="Q88" s="2" t="n">
        <x:v>178.4911564285261</x:v>
      </x:c>
    </x:row>
    <x:row r="89" ht="20" customHeight="1">
      <x:c r="A89" s="2" t="n">
        <x:v>5</x:v>
      </x:c>
      <x:c r="B89" s="2" t="str">
        <x:v>low</x:v>
      </x:c>
      <x:c r="C89" s="2" t="n">
        <x:v>11</x:v>
      </x:c>
      <x:c r="D89" s="2" t="n">
        <x:v>6</x:v>
      </x:c>
      <x:c r="E89" s="5" t="n">
        <x:v>150692.0892482345</x:v>
      </x:c>
      <x:c r="F89" s="5" t="n">
        <x:v>0</x:v>
      </x:c>
      <x:c r="G89" s="5" t="n">
        <x:v>20543.31871614293</x:v>
      </x:c>
      <x:c r="H89" s="5" t="n">
        <x:v>2256.579055088232</x:v>
      </x:c>
      <x:c r="I89" s="5" t="n">
        <x:v>253.4855756856789</x:v>
      </x:c>
      <x:c r="J89" s="5" t="n">
        <x:v>89.02134589431354</x:v>
      </x:c>
      <x:c r="K89" s="5" t="n">
        <x:v>129895.28495640587</x:v>
      </x:c>
      <x:c r="L89" s="5" t="n">
        <x:v>178.19090885900997</x:v>
      </x:c>
      <x:c r="M89" s="5" t="n">
        <x:v>0.3002475695161124</x:v>
      </x:c>
      <x:c r="N89" s="5" t="n">
        <x:v>0</x:v>
      </x:c>
      <x:c r="O89" s="5" t="n">
        <x:v>0</x:v>
      </x:c>
      <x:c r="P89" s="5" t="n">
        <x:v>0</x:v>
      </x:c>
      <x:c r="Q89" s="2" t="n">
        <x:v>178.19090885900997</x:v>
      </x:c>
    </x:row>
    <x:row r="90" ht="20" customHeight="1">
      <x:c r="A90" s="2" t="n">
        <x:v>5</x:v>
      </x:c>
      <x:c r="B90" s="2" t="str">
        <x:v>low</x:v>
      </x:c>
      <x:c r="C90" s="2" t="n">
        <x:v>12</x:v>
      </x:c>
      <x:c r="D90" s="2" t="n">
        <x:v>7</x:v>
      </x:c>
      <x:c r="E90" s="5" t="n">
        <x:v>129895.28495640587</x:v>
      </x:c>
      <x:c r="F90" s="5" t="n">
        <x:v>0</x:v>
      </x:c>
      <x:c r="G90" s="5" t="n">
        <x:v>20816.39335443936</x:v>
      </x:c>
      <x:c r="H90" s="5" t="n">
        <x:v>1945.1517385527072</x:v>
      </x:c>
      <x:c r="I90" s="5" t="n">
        <x:v>218.50238622539783</x:v>
      </x:c>
      <x:c r="J90" s="5" t="n">
        <x:v>80.56795448410948</x:v>
      </x:c>
      <x:c r="K90" s="5" t="n">
        <x:v>108860.38921574112</x:v>
      </x:c>
      <x:c r="L90" s="5" t="n">
        <x:v>177.8911663487069</x:v>
      </x:c>
      <x:c r="M90" s="5" t="n">
        <x:v>0.29974251030307275</x:v>
      </x:c>
      <x:c r="N90" s="5" t="n">
        <x:v>0</x:v>
      </x:c>
      <x:c r="O90" s="5" t="n">
        <x:v>0</x:v>
      </x:c>
      <x:c r="P90" s="5" t="n">
        <x:v>0</x:v>
      </x:c>
      <x:c r="Q90" s="2" t="n">
        <x:v>177.8911663487069</x:v>
      </x:c>
    </x:row>
    <x:row r="91" ht="20" customHeight="1">
      <x:c r="A91" s="2" t="n">
        <x:v>5</x:v>
      </x:c>
      <x:c r="B91" s="2" t="str">
        <x:v>low</x:v>
      </x:c>
      <x:c r="C91" s="2" t="n">
        <x:v>13</x:v>
      </x:c>
      <x:c r="D91" s="2" t="n">
        <x:v>8</x:v>
      </x:c>
      <x:c r="E91" s="5" t="n">
        <x:v>108860.38921574112</x:v>
      </x:c>
      <x:c r="F91" s="5" t="n">
        <x:v>0</x:v>
      </x:c>
      <x:c r="G91" s="5" t="n">
        <x:v>21093.09787158404</x:v>
      </x:c>
      <x:c r="H91" s="5" t="n">
        <x:v>1630.159057841003</x:v>
      </x:c>
      <x:c r="I91" s="5" t="n">
        <x:v>183.11869300758605</x:v>
      </x:c>
      <x:c r="J91" s="5" t="n">
        <x:v>72.01840564407134</x:v>
      </x:c>
      <x:c r="K91" s="5" t="n">
        <x:v>87584.17265114949</x:v>
      </x:c>
      <x:c r="L91" s="5" t="n">
        <x:v>177.59192804803527</x:v>
      </x:c>
      <x:c r="M91" s="5" t="n">
        <x:v>0.299238300671627</x:v>
      </x:c>
      <x:c r="N91" s="5" t="n">
        <x:v>0</x:v>
      </x:c>
      <x:c r="O91" s="5" t="n">
        <x:v>0</x:v>
      </x:c>
      <x:c r="P91" s="5" t="n">
        <x:v>0</x:v>
      </x:c>
      <x:c r="Q91" s="2" t="n">
        <x:v>177.59192804803527</x:v>
      </x:c>
    </x:row>
    <x:row r="92" ht="20" customHeight="1">
      <x:c r="A92" s="2" t="n">
        <x:v>5</x:v>
      </x:c>
      <x:c r="B92" s="2" t="str">
        <x:v>low</x:v>
      </x:c>
      <x:c r="C92" s="2" t="n">
        <x:v>14</x:v>
      </x:c>
      <x:c r="D92" s="2" t="n">
        <x:v>9</x:v>
      </x:c>
      <x:c r="E92" s="5" t="n">
        <x:v>87584.17265114949</x:v>
      </x:c>
      <x:c r="F92" s="5" t="n">
        <x:v>0</x:v>
      </x:c>
      <x:c r="G92" s="5" t="n">
        <x:v>21373.480518196426</x:v>
      </x:c>
      <x:c r="H92" s="5" t="n">
        <x:v>1311.5526538107977</x:v>
      </x:c>
      <x:c r="I92" s="5" t="n">
        <x:v>147.32906376298473</x:v>
      </x:c>
      <x:c r="J92" s="5" t="n">
        <x:v>63.371393921419724</x:v>
      </x:c>
      <x:c r="K92" s="5" t="n">
        <x:v>66063.36306919008</x:v>
      </x:c>
      <x:c r="L92" s="5" t="n">
        <x:v>177.29319310884262</x:v>
      </x:c>
      <x:c r="M92" s="5" t="n">
        <x:v>0.29873493919265776</x:v>
      </x:c>
      <x:c r="N92" s="5" t="n">
        <x:v>0</x:v>
      </x:c>
      <x:c r="O92" s="5" t="n">
        <x:v>0</x:v>
      </x:c>
      <x:c r="P92" s="5" t="n">
        <x:v>0</x:v>
      </x:c>
      <x:c r="Q92" s="2" t="n">
        <x:v>177.29319310884262</x:v>
      </x:c>
    </x:row>
    <x:row r="93" ht="20" customHeight="1">
      <x:c r="A93" s="2" t="n">
        <x:v>5</x:v>
      </x:c>
      <x:c r="B93" s="2" t="str">
        <x:v>low</x:v>
      </x:c>
      <x:c r="C93" s="2" t="n">
        <x:v>15</x:v>
      </x:c>
      <x:c r="D93" s="2" t="n">
        <x:v>10</x:v>
      </x:c>
      <x:c r="E93" s="5" t="n">
        <x:v>66063.36306919008</x:v>
      </x:c>
      <x:c r="F93" s="5" t="n">
        <x:v>0</x:v>
      </x:c>
      <x:c r="G93" s="5" t="n">
        <x:v>21657.590186273366</x:v>
      </x:c>
      <x:c r="H93" s="5" t="n">
        <x:v>989.2835261249147</x:v>
      </x:c>
      <x:c r="I93" s="5" t="n">
        <x:v>111.12799419576609</x:v>
      </x:c>
      <x:c r="J93" s="5" t="n">
        <x:v>54.62559655634946</x:v>
      </x:c>
      <x:c r="K93" s="5" t="n">
        <x:v>44294.64488872095</x:v>
      </x:c>
      <x:c r="L93" s="5" t="n">
        <x:v>176.99496068440317</x:v>
      </x:c>
      <x:c r="M93" s="5" t="n">
        <x:v>0.29823242443945175</x:v>
      </x:c>
      <x:c r="N93" s="5" t="n">
        <x:v>0</x:v>
      </x:c>
      <x:c r="O93" s="5" t="n">
        <x:v>0</x:v>
      </x:c>
      <x:c r="P93" s="5" t="n">
        <x:v>0</x:v>
      </x:c>
      <x:c r="Q93" s="2" t="n">
        <x:v>176.99496068440317</x:v>
      </x:c>
    </x:row>
    <x:row r="94" ht="20" customHeight="1">
      <x:c r="A94" s="2" t="n">
        <x:v>5</x:v>
      </x:c>
      <x:c r="B94" s="2" t="str">
        <x:v>low</x:v>
      </x:c>
      <x:c r="C94" s="2" t="n">
        <x:v>16</x:v>
      </x:c>
      <x:c r="D94" s="2" t="n">
        <x:v>11</x:v>
      </x:c>
      <x:c r="E94" s="5" t="n">
        <x:v>44294.64488872095</x:v>
      </x:c>
      <x:c r="F94" s="5" t="n">
        <x:v>0</x:v>
      </x:c>
      <x:c r="G94" s="5" t="n">
        <x:v>21945.47641771471</x:v>
      </x:c>
      <x:c r="H94" s="5" t="n">
        <x:v>663.3020247254271</x:v>
      </x:c>
      <x:c r="I94" s="5" t="n">
        <x:v>74.50990702580422</x:v>
      </x:c>
      <x:c r="J94" s="5" t="n">
        <x:v>45.77967325189651</x:v>
      </x:c>
      <x:c r="K94" s="5" t="n">
        <x:v>22274.658563980433</x:v>
      </x:c>
      <x:c r="L94" s="5" t="n">
        <x:v>176.69722992941547</x:v>
      </x:c>
      <x:c r="M94" s="5" t="n">
        <x:v>0.29773075498769547</x:v>
      </x:c>
      <x:c r="N94" s="5" t="n">
        <x:v>0</x:v>
      </x:c>
      <x:c r="O94" s="5" t="n">
        <x:v>0</x:v>
      </x:c>
      <x:c r="P94" s="5" t="n">
        <x:v>0</x:v>
      </x:c>
      <x:c r="Q94" s="2" t="n">
        <x:v>176.69722992941547</x:v>
      </x:c>
    </x:row>
    <x:row r="95" ht="20" customHeight="1">
      <x:c r="A95" s="2" t="n">
        <x:v>5</x:v>
      </x:c>
      <x:c r="B95" s="2" t="str">
        <x:v>low</x:v>
      </x:c>
      <x:c r="C95" s="2" t="n">
        <x:v>17</x:v>
      </x:c>
      <x:c r="D95" s="2" t="n">
        <x:v>12</x:v>
      </x:c>
      <x:c r="E95" s="5" t="n">
        <x:v>22274.658563980433</x:v>
      </x:c>
      <x:c r="F95" s="5" t="n">
        <x:v>0</x:v>
      </x:c>
      <x:c r="G95" s="5" t="n">
        <x:v>22237.189412962216</x:v>
      </x:c>
      <x:c r="H95" s="5" t="n">
        <x:v>333.55784119443325</x:v>
      </x:c>
      <x:c r="I95" s="5" t="n">
        <x:v>37.46915101821558</x:v>
      </x:c>
      <x:c r="J95" s="5" t="n">
        <x:v>36.83226594074618</x:v>
      </x:c>
      <x:c r="K95" s="5" t="n">
        <x:v>0</x:v>
      </x:c>
      <x:c r="L95" s="5" t="n">
        <x:v>0</x:v>
      </x:c>
      <x:c r="M95" s="5" t="n">
        <x:v>0.2972299294154714</x:v>
      </x:c>
      <x:c r="N95" s="5" t="n">
        <x:v>0</x:v>
      </x:c>
      <x:c r="O95" s="5" t="n">
        <x:v>0</x:v>
      </x:c>
      <x:c r="P95" s="5" t="n">
        <x:v>0</x:v>
      </x:c>
      <x:c r="Q95" s="2" t="n">
        <x:v>176.4</x:v>
      </x:c>
    </x:row>
    <x:row r="96" ht="20" customHeight="1">
      <x:c r="A96" s="2" t="n">
        <x:v>5</x:v>
      </x:c>
      <x:c r="B96" s="2" t="str">
        <x:v>low</x:v>
      </x:c>
      <x:c r="C96" s="2" t="n">
        <x:v>18</x:v>
      </x:c>
      <x:c r="D96" s="2" t="n">
        <x:v>13</x:v>
      </x:c>
      <x:c r="E96" s="5" t="n">
        <x:v>0</x:v>
      </x:c>
      <x:c r="F96" s="5" t="n">
        <x:v>0</x:v>
      </x:c>
      <x:c r="G96" s="5" t="n">
        <x:v>0</x:v>
      </x:c>
      <x:c r="H96" s="5" t="n">
        <x:v>0</x:v>
      </x:c>
      <x:c r="I96" s="5" t="n">
        <x:v>0</x:v>
      </x:c>
      <x:c r="J96" s="5" t="n">
        <x:v>27.781998548941523</x:v>
      </x:c>
      <x:c r="K96" s="5" t="n">
        <x:v>0</x:v>
      </x:c>
      <x:c r="L96" s="5" t="n">
        <x:v>0</x:v>
      </x:c>
      <x:c r="M96" s="5" t="n">
        <x:v>0</x:v>
      </x:c>
      <x:c r="N96" s="5" t="n">
        <x:v>0</x:v>
      </x:c>
      <x:c r="O96" s="5" t="n">
        <x:v>0</x:v>
      </x:c>
      <x:c r="P96" s="5" t="n">
        <x:v>0</x:v>
      </x:c>
      <x:c r="Q96" s="2" t="n">
        <x:v>0</x:v>
      </x:c>
    </x:row>
    <x:row r="97" ht="20" customHeight="1">
      <x:c r="A97" s="2" t="n">
        <x:v>5</x:v>
      </x:c>
      <x:c r="B97" s="2" t="str">
        <x:v>low</x:v>
      </x:c>
      <x:c r="C97" s="2" t="n">
        <x:v>19</x:v>
      </x:c>
      <x:c r="D97" s="2" t="n">
        <x:v>14</x:v>
      </x:c>
      <x:c r="E97" s="5" t="n">
        <x:v>0</x:v>
      </x:c>
      <x:c r="F97" s="5" t="n">
        <x:v>0</x:v>
      </x:c>
      <x:c r="G97" s="5" t="n">
        <x:v>0</x:v>
      </x:c>
      <x:c r="H97" s="5" t="n">
        <x:v>0</x:v>
      </x:c>
      <x:c r="I97" s="5" t="n">
        <x:v>0</x:v>
      </x:c>
      <x:c r="J97" s="5" t="n">
        <x:v>18.627476756451056</x:v>
      </x:c>
      <x:c r="K97" s="5" t="n">
        <x:v>0</x:v>
      </x:c>
      <x:c r="L97" s="5" t="n">
        <x:v>0</x:v>
      </x:c>
      <x:c r="M97" s="5" t="n">
        <x:v>0</x:v>
      </x:c>
      <x:c r="N97" s="5" t="n">
        <x:v>0</x:v>
      </x:c>
      <x:c r="O97" s="5" t="n">
        <x:v>0</x:v>
      </x:c>
      <x:c r="P97" s="5" t="n">
        <x:v>0</x:v>
      </x:c>
      <x:c r="Q97" s="2" t="n">
        <x:v>0</x:v>
      </x:c>
    </x:row>
    <x:row r="98" ht="20" customHeight="1">
      <x:c r="A98" s="2" t="n">
        <x:v>5</x:v>
      </x:c>
      <x:c r="B98" s="2" t="str">
        <x:v>low</x:v>
      </x:c>
      <x:c r="C98" s="2" t="n">
        <x:v>20</x:v>
      </x:c>
      <x:c r="D98" s="2" t="n">
        <x:v>15</x:v>
      </x:c>
      <x:c r="E98" s="5" t="n">
        <x:v>0</x:v>
      </x:c>
      <x:c r="F98" s="5" t="n">
        <x:v>0</x:v>
      </x:c>
      <x:c r="G98" s="5" t="n">
        <x:v>0</x:v>
      </x:c>
      <x:c r="H98" s="5" t="n">
        <x:v>0</x:v>
      </x:c>
      <x:c r="I98" s="5" t="n">
        <x:v>0</x:v>
      </x:c>
      <x:c r="J98" s="5" t="n">
        <x:v>9.367287754553894</x:v>
      </x:c>
      <x:c r="K98" s="5" t="n">
        <x:v>0</x:v>
      </x:c>
      <x:c r="L98" s="5" t="n">
        <x:v>0</x:v>
      </x:c>
      <x:c r="M98" s="5" t="n">
        <x:v>0</x:v>
      </x:c>
      <x:c r="N98" s="5" t="n">
        <x:v>0</x:v>
      </x:c>
      <x:c r="O98" s="5" t="n">
        <x:v>0</x:v>
      </x:c>
      <x:c r="P98" s="5" t="n">
        <x:v>0</x:v>
      </x:c>
      <x:c r="Q98" s="2" t="n">
        <x:v>0</x:v>
      </x:c>
    </x:row>
    <x:row r="99" ht="20" customHeight="1">
      <x:c r="A99" s="2" t="n">
        <x:v>6</x:v>
      </x:c>
      <x:c r="B99" s="2" t="str">
        <x:v>low</x:v>
      </x:c>
      <x:c r="C99" s="2" t="n">
        <x:v>6</x:v>
      </x:c>
      <x:c r="D99" s="2" t="n">
        <x:v>0</x:v>
      </x:c>
      <x:c r="E99" s="5" t="n">
        <x:v>0</x:v>
      </x:c>
      <x:c r="F99" s="5" t="n">
        <x:v>295589.86</x:v>
      </x:c>
      <x:c r="G99" s="5" t="n">
        <x:v>0</x:v>
      </x:c>
      <x:c r="H99" s="5" t="n">
        <x:v>0</x:v>
      </x:c>
      <x:c r="I99" s="5" t="n">
        <x:v>0</x:v>
      </x:c>
      <x:c r="J99" s="5" t="n">
        <x:v>0</x:v>
      </x:c>
      <x:c r="K99" s="5" t="n">
        <x:v>295589.86</x:v>
      </x:c>
      <x:c r="L99" s="5" t="n">
        <x:v>185</x:v>
      </x:c>
      <x:c r="M99" s="5" t="n">
        <x:v>0</x:v>
      </x:c>
      <x:c r="N99" s="5" t="n">
        <x:v>185</x:v>
      </x:c>
      <x:c r="O99" s="5" t="n">
        <x:v>5911.7972</x:v>
      </x:c>
      <x:c r="P99" s="5" t="n">
        <x:v>4625</x:v>
      </x:c>
      <x:c r="Q99" s="2" t="n">
        <x:v>0</x:v>
      </x:c>
    </x:row>
    <x:row r="100" ht="20" customHeight="1">
      <x:c r="A100" s="2" t="n">
        <x:v>6</x:v>
      </x:c>
      <x:c r="B100" s="2" t="str">
        <x:v>low</x:v>
      </x:c>
      <x:c r="C100" s="2" t="n">
        <x:v>7</x:v>
      </x:c>
      <x:c r="D100" s="2" t="n">
        <x:v>1</x:v>
      </x:c>
      <x:c r="E100" s="5" t="n">
        <x:v>295589.86</x:v>
      </x:c>
      <x:c r="F100" s="5" t="n">
        <x:v>0</x:v>
      </x:c>
      <x:c r="G100" s="5" t="n">
        <x:v>22627.70121356238</x:v>
      </x:c>
      <x:c r="H100" s="5" t="n">
        <x:v>4426.389535775035</x:v>
      </x:c>
      <x:c r="I100" s="5" t="n">
        <x:v>497.2242816643216</x:v>
      </x:c>
      <x:c r="J100" s="5" t="n">
        <x:v>0</x:v>
      </x:c>
      <x:c r="K100" s="5" t="n">
        <x:v>272464.9345047733</x:v>
      </x:c>
      <x:c r="L100" s="5" t="n">
        <x:v>184.6888036277432</x:v>
      </x:c>
      <x:c r="M100" s="5" t="n">
        <x:v>0.31119637225681385</x:v>
      </x:c>
      <x:c r="N100" s="5" t="n">
        <x:v>0</x:v>
      </x:c>
      <x:c r="O100" s="5" t="n">
        <x:v>0</x:v>
      </x:c>
      <x:c r="P100" s="5" t="n">
        <x:v>0</x:v>
      </x:c>
      <x:c r="Q100" s="2" t="n">
        <x:v>184.6888036277432</x:v>
      </x:c>
    </x:row>
    <x:row r="101" ht="20" customHeight="1">
      <x:c r="A101" s="2" t="n">
        <x:v>6</x:v>
      </x:c>
      <x:c r="B101" s="2" t="str">
        <x:v>low</x:v>
      </x:c>
      <x:c r="C101" s="2" t="n">
        <x:v>8</x:v>
      </x:c>
      <x:c r="D101" s="2" t="n">
        <x:v>2</x:v>
      </x:c>
      <x:c r="E101" s="5" t="n">
        <x:v>272464.9345047733</x:v>
      </x:c>
      <x:c r="F101" s="5" t="n">
        <x:v>0</x:v>
      </x:c>
      <x:c r="G101" s="5" t="n">
        <x:v>22928.482767397578</x:v>
      </x:c>
      <x:c r="H101" s="5" t="n">
        <x:v>4080.0991446647013</x:v>
      </x:c>
      <x:c r="I101" s="5" t="n">
        <x:v>458.3248604598694</x:v>
      </x:c>
      <x:c r="J101" s="5" t="n">
        <x:v>0</x:v>
      </x:c>
      <x:c r="K101" s="5" t="n">
        <x:v>249078.12687691586</x:v>
      </x:c>
      <x:c r="L101" s="5" t="n">
        <x:v>184.37813073214642</x:v>
      </x:c>
      <x:c r="M101" s="5" t="n">
        <x:v>0.3106728955967825</x:v>
      </x:c>
      <x:c r="N101" s="5" t="n">
        <x:v>0</x:v>
      </x:c>
      <x:c r="O101" s="5" t="n">
        <x:v>0</x:v>
      </x:c>
      <x:c r="P101" s="5" t="n">
        <x:v>0</x:v>
      </x:c>
      <x:c r="Q101" s="2" t="n">
        <x:v>184.37813073214642</x:v>
      </x:c>
    </x:row>
    <x:row r="102" ht="20" customHeight="1">
      <x:c r="A102" s="2" t="n">
        <x:v>6</x:v>
      </x:c>
      <x:c r="B102" s="2" t="str">
        <x:v>low</x:v>
      </x:c>
      <x:c r="C102" s="2" t="n">
        <x:v>9</x:v>
      </x:c>
      <x:c r="D102" s="2" t="n">
        <x:v>3</x:v>
      </x:c>
      <x:c r="E102" s="5" t="n">
        <x:v>249078.12687691586</x:v>
      </x:c>
      <x:c r="F102" s="5" t="n">
        <x:v>0</x:v>
      </x:c>
      <x:c r="G102" s="5" t="n">
        <x:v>23233.262497727756</x:v>
      </x:c>
      <x:c r="H102" s="5" t="n">
        <x:v>3729.887129411093</x:v>
      </x:c>
      <x:c r="I102" s="5" t="n">
        <x:v>418.98491617631686</x:v>
      </x:c>
      <x:c r="J102" s="5" t="n">
        <x:v>0</x:v>
      </x:c>
      <x:c r="K102" s="5" t="n">
        <x:v>225425.87946301178</x:v>
      </x:c>
      <x:c r="L102" s="5" t="n">
        <x:v>184.0679804326473</x:v>
      </x:c>
      <x:c r="M102" s="5" t="n">
        <x:v>0.3101502994991164</x:v>
      </x:c>
      <x:c r="N102" s="5" t="n">
        <x:v>0</x:v>
      </x:c>
      <x:c r="O102" s="5" t="n">
        <x:v>0</x:v>
      </x:c>
      <x:c r="P102" s="5" t="n">
        <x:v>0</x:v>
      </x:c>
      <x:c r="Q102" s="2" t="n">
        <x:v>184.0679804326473</x:v>
      </x:c>
    </x:row>
    <x:row r="103" ht="20" customHeight="1">
      <x:c r="A103" s="2" t="n">
        <x:v>6</x:v>
      </x:c>
      <x:c r="B103" s="2" t="str">
        <x:v>low</x:v>
      </x:c>
      <x:c r="C103" s="2" t="n">
        <x:v>10</x:v>
      </x:c>
      <x:c r="D103" s="2" t="n">
        <x:v>4</x:v>
      </x:c>
      <x:c r="E103" s="5" t="n">
        <x:v>225425.87946301178</x:v>
      </x:c>
      <x:c r="F103" s="5" t="n">
        <x:v>0</x:v>
      </x:c>
      <x:c r="G103" s="5" t="n">
        <x:v>23542.093550814978</x:v>
      </x:c>
      <x:c r="H103" s="5" t="n">
        <x:v>3375.7002149801747</x:v>
      </x:c>
      <x:c r="I103" s="5" t="n">
        <x:v>379.1984643334652</x:v>
      </x:c>
      <x:c r="J103" s="5" t="n">
        <x:v>124.3060704160804</x:v>
      </x:c>
      <x:c r="K103" s="5" t="n">
        <x:v>201504.58744786333</x:v>
      </x:c>
      <x:c r="L103" s="5" t="n">
        <x:v>183.7583518501647</x:v>
      </x:c>
      <x:c r="M103" s="5" t="n">
        <x:v>0.30962858248258396</x:v>
      </x:c>
      <x:c r="N103" s="5" t="n">
        <x:v>0</x:v>
      </x:c>
      <x:c r="O103" s="5" t="n">
        <x:v>0</x:v>
      </x:c>
      <x:c r="P103" s="5" t="n">
        <x:v>0</x:v>
      </x:c>
      <x:c r="Q103" s="2" t="n">
        <x:v>183.7583518501647</x:v>
      </x:c>
    </x:row>
    <x:row r="104" ht="20" customHeight="1">
      <x:c r="A104" s="2" t="n">
        <x:v>6</x:v>
      </x:c>
      <x:c r="B104" s="2" t="str">
        <x:v>low</x:v>
      </x:c>
      <x:c r="C104" s="2" t="n">
        <x:v>11</x:v>
      </x:c>
      <x:c r="D104" s="2" t="n">
        <x:v>5</x:v>
      </x:c>
      <x:c r="E104" s="5" t="n">
        <x:v>201504.58744786333</x:v>
      </x:c>
      <x:c r="F104" s="5" t="n">
        <x:v>0</x:v>
      </x:c>
      <x:c r="G104" s="5" t="n">
        <x:v>23855.02977937467</x:v>
      </x:c>
      <x:c r="H104" s="5" t="n">
        <x:v>3017.484420101176</x:v>
      </x:c>
      <x:c r="I104" s="5" t="n">
        <x:v>338.95944111827555</x:v>
      </x:c>
      <x:c r="J104" s="5" t="n">
        <x:v>114.58121511496735</x:v>
      </x:c>
      <x:c r="K104" s="5" t="n">
        <x:v>177310.59822737038</x:v>
      </x:c>
      <x:c r="L104" s="5" t="n">
        <x:v>183.44924410709626</x:v>
      </x:c>
      <x:c r="M104" s="5" t="n">
        <x:v>0.3091077430684456</x:v>
      </x:c>
      <x:c r="N104" s="5" t="n">
        <x:v>0</x:v>
      </x:c>
      <x:c r="O104" s="5" t="n">
        <x:v>0</x:v>
      </x:c>
      <x:c r="P104" s="5" t="n">
        <x:v>0</x:v>
      </x:c>
      <x:c r="Q104" s="2" t="n">
        <x:v>183.44924410709626</x:v>
      </x:c>
    </x:row>
    <x:row r="105" ht="20" customHeight="1">
      <x:c r="A105" s="2" t="n">
        <x:v>6</x:v>
      </x:c>
      <x:c r="B105" s="2" t="str">
        <x:v>low</x:v>
      </x:c>
      <x:c r="C105" s="2" t="n">
        <x:v>12</x:v>
      </x:c>
      <x:c r="D105" s="2" t="n">
        <x:v>6</x:v>
      </x:c>
      <x:c r="E105" s="5" t="n">
        <x:v>177310.59822737038</x:v>
      </x:c>
      <x:c r="F105" s="5" t="n">
        <x:v>0</x:v>
      </x:c>
      <x:c r="G105" s="5" t="n">
        <x:v>24172.1257519662</x:v>
      </x:c>
      <x:c r="H105" s="5" t="n">
        <x:v>2655.1850478756064</x:v>
      </x:c>
      <x:c r="I105" s="5" t="n">
        <x:v>298.2617023299628</x:v>
      </x:c>
      <x:c r="J105" s="5" t="n">
        <x:v>104.74622904407921</x:v>
      </x:c>
      <x:c r="K105" s="5" t="n">
        <x:v>152840.2107730742</x:v>
      </x:c>
      <x:c r="L105" s="5" t="n">
        <x:v>183.1406563273158</x:v>
      </x:c>
      <x:c r="M105" s="5" t="n">
        <x:v>0.3085877797804489</x:v>
      </x:c>
      <x:c r="N105" s="5" t="n">
        <x:v>0</x:v>
      </x:c>
      <x:c r="O105" s="5" t="n">
        <x:v>0</x:v>
      </x:c>
      <x:c r="P105" s="5" t="n">
        <x:v>0</x:v>
      </x:c>
      <x:c r="Q105" s="2" t="n">
        <x:v>183.1406563273158</x:v>
      </x:c>
    </x:row>
    <x:row r="106" ht="20" customHeight="1">
      <x:c r="A106" s="2" t="n">
        <x:v>6</x:v>
      </x:c>
      <x:c r="B106" s="2" t="str">
        <x:v>low</x:v>
      </x:c>
      <x:c r="C106" s="2" t="n">
        <x:v>13</x:v>
      </x:c>
      <x:c r="D106" s="2" t="n">
        <x:v>7</x:v>
      </x:c>
      <x:c r="E106" s="5" t="n">
        <x:v>152840.2107730742</x:v>
      </x:c>
      <x:c r="F106" s="5" t="n">
        <x:v>0</x:v>
      </x:c>
      <x:c r="G106" s="5" t="n">
        <x:v>24493.436762508376</x:v>
      </x:c>
      <x:c r="H106" s="5" t="n">
        <x:v>2288.746676261447</x:v>
      </x:c>
      <x:c r="I106" s="5" t="n">
        <x:v>257.0990223110676</x:v>
      </x:c>
      <x:c r="J106" s="5" t="n">
        <x:v>94.7996160833663</x:v>
      </x:c>
      <x:c r="K106" s="5" t="n">
        <x:v>128089.67498825479</x:v>
      </x:c>
      <x:c r="L106" s="5" t="n">
        <x:v>182.83258763617098</x:v>
      </x:c>
      <x:c r="M106" s="5" t="n">
        <x:v>0.30806869114482477</x:v>
      </x:c>
      <x:c r="N106" s="5" t="n">
        <x:v>0</x:v>
      </x:c>
      <x:c r="O106" s="5" t="n">
        <x:v>0</x:v>
      </x:c>
      <x:c r="P106" s="5" t="n">
        <x:v>0</x:v>
      </x:c>
      <x:c r="Q106" s="2" t="n">
        <x:v>182.83258763617098</x:v>
      </x:c>
    </x:row>
    <x:row r="107" ht="20" customHeight="1">
      <x:c r="A107" s="2" t="n">
        <x:v>6</x:v>
      </x:c>
      <x:c r="B107" s="2" t="str">
        <x:v>low</x:v>
      </x:c>
      <x:c r="C107" s="2" t="n">
        <x:v>14</x:v>
      </x:c>
      <x:c r="D107" s="2" t="n">
        <x:v>8</x:v>
      </x:c>
      <x:c r="E107" s="5" t="n">
        <x:v>128089.67498825479</x:v>
      </x:c>
      <x:c r="F107" s="5" t="n">
        <x:v>0</x:v>
      </x:c>
      <x:c r="G107" s="5" t="n">
        <x:v>24819.018839921337</x:v>
      </x:c>
      <x:c r="H107" s="5" t="n">
        <x:v>1918.1131484308569</x:v>
      </x:c>
      <x:c r="I107" s="5" t="n">
        <x:v>215.46509286432018</x:v>
      </x:c>
      <x:c r="J107" s="5" t="n">
        <x:v>84.73986027956889</x:v>
      </x:c>
      <x:c r="K107" s="5" t="n">
        <x:v>103055.19105546913</x:v>
      </x:c>
      <x:c r="L107" s="5" t="n">
        <x:v>182.5250371604807</x:v>
      </x:c>
      <x:c r="M107" s="5" t="n">
        <x:v>0.3075504756902833</x:v>
      </x:c>
      <x:c r="N107" s="5" t="n">
        <x:v>0</x:v>
      </x:c>
      <x:c r="O107" s="5" t="n">
        <x:v>0</x:v>
      </x:c>
      <x:c r="P107" s="5" t="n">
        <x:v>0</x:v>
      </x:c>
      <x:c r="Q107" s="2" t="n">
        <x:v>182.5250371604807</x:v>
      </x:c>
    </x:row>
    <x:row r="108" ht="20" customHeight="1">
      <x:c r="A108" s="2" t="n">
        <x:v>6</x:v>
      </x:c>
      <x:c r="B108" s="2" t="str">
        <x:v>low</x:v>
      </x:c>
      <x:c r="C108" s="2" t="n">
        <x:v>15</x:v>
      </x:c>
      <x:c r="D108" s="2" t="n">
        <x:v>9</x:v>
      </x:c>
      <x:c r="E108" s="5" t="n">
        <x:v>103055.19105546913</x:v>
      </x:c>
      <x:c r="F108" s="5" t="n">
        <x:v>0</x:v>
      </x:c>
      <x:c r="G108" s="5" t="n">
        <x:v>25148.92875789666</x:v>
      </x:c>
      <x:c r="H108" s="5" t="n">
        <x:v>1543.2275629997102</x:v>
      </x:c>
      <x:c r="I108" s="5" t="n">
        <x:v>173.35352215510727</x:v>
      </x:c>
      <x:c r="J108" s="5" t="n">
        <x:v>74.5654255824907</x:v>
      </x:c>
      <x:c r="K108" s="5" t="n">
        <x:v>77732.90877541735</x:v>
      </x:c>
      <x:c r="L108" s="5" t="n">
        <x:v>182.2180040285327</x:v>
      </x:c>
      <x:c r="M108" s="5" t="n">
        <x:v>0.3070331319480094</x:v>
      </x:c>
      <x:c r="N108" s="5" t="n">
        <x:v>0</x:v>
      </x:c>
      <x:c r="O108" s="5" t="n">
        <x:v>0</x:v>
      </x:c>
      <x:c r="P108" s="5" t="n">
        <x:v>0</x:v>
      </x:c>
      <x:c r="Q108" s="2" t="n">
        <x:v>182.2180040285327</x:v>
      </x:c>
    </x:row>
    <x:row r="109" ht="20" customHeight="1">
      <x:c r="A109" s="2" t="n">
        <x:v>6</x:v>
      </x:c>
      <x:c r="B109" s="2" t="str">
        <x:v>low</x:v>
      </x:c>
      <x:c r="C109" s="2" t="n">
        <x:v>16</x:v>
      </x:c>
      <x:c r="D109" s="2" t="n">
        <x:v>10</x:v>
      </x:c>
      <x:c r="E109" s="5" t="n">
        <x:v>77732.90877541735</x:v>
      </x:c>
      <x:c r="F109" s="5" t="n">
        <x:v>0</x:v>
      </x:c>
      <x:c r="G109" s="5" t="n">
        <x:v>25483.22404479735</x:v>
      </x:c>
      <x:c r="H109" s="5" t="n">
        <x:v>1164.03226412727</x:v>
      </x:c>
      <x:c r="I109" s="5" t="n">
        <x:v>130.7578335993499</x:v>
      </x:c>
      <x:c r="J109" s="5" t="n">
        <x:v>64.2747555777669</x:v>
      </x:c>
      <x:c r="K109" s="5" t="n">
        <x:v>52118.926897020654</x:v>
      </x:c>
      <x:c r="L109" s="5" t="n">
        <x:v>181.91148737008103</x:v>
      </x:c>
      <x:c r="M109" s="5" t="n">
        <x:v>0.30651665845165876</x:v>
      </x:c>
      <x:c r="N109" s="5" t="n">
        <x:v>0</x:v>
      </x:c>
      <x:c r="O109" s="5" t="n">
        <x:v>0</x:v>
      </x:c>
      <x:c r="P109" s="5" t="n">
        <x:v>0</x:v>
      </x:c>
      <x:c r="Q109" s="2" t="n">
        <x:v>181.91148737008103</x:v>
      </x:c>
    </x:row>
    <x:row r="110" ht="20" customHeight="1">
      <x:c r="A110" s="2" t="n">
        <x:v>6</x:v>
      </x:c>
      <x:c r="B110" s="2" t="str">
        <x:v>low</x:v>
      </x:c>
      <x:c r="C110" s="2" t="n">
        <x:v>17</x:v>
      </x:c>
      <x:c r="D110" s="2" t="n">
        <x:v>11</x:v>
      </x:c>
      <x:c r="E110" s="5" t="n">
        <x:v>52118.926897020654</x:v>
      </x:c>
      <x:c r="F110" s="5" t="n">
        <x:v>0</x:v>
      </x:c>
      <x:c r="G110" s="5" t="n">
        <x:v>25821.962993689358</x:v>
      </x:c>
      <x:c r="H110" s="5" t="n">
        <x:v>780.4688314842608</x:v>
      </x:c>
      <x:c r="I110" s="5" t="n">
        <x:v>87.6714647365995</x:v>
      </x:c>
      <x:c r="J110" s="5" t="n">
        <x:v>53.866273216080046</x:v>
      </x:c>
      <x:c r="K110" s="5" t="n">
        <x:v>26209.292438594697</x:v>
      </x:c>
      <x:c r="L110" s="5" t="n">
        <x:v>181.60548631634367</x:v>
      </x:c>
      <x:c r="M110" s="5" t="n">
        <x:v>0.3060010537373537</x:v>
      </x:c>
      <x:c r="N110" s="5" t="n">
        <x:v>0</x:v>
      </x:c>
      <x:c r="O110" s="5" t="n">
        <x:v>0</x:v>
      </x:c>
      <x:c r="P110" s="5" t="n">
        <x:v>0</x:v>
      </x:c>
      <x:c r="Q110" s="2" t="n">
        <x:v>181.60548631634367</x:v>
      </x:c>
    </x:row>
    <x:row r="111" ht="20" customHeight="1">
      <x:c r="A111" s="2" t="n">
        <x:v>6</x:v>
      </x:c>
      <x:c r="B111" s="2" t="str">
        <x:v>low</x:v>
      </x:c>
      <x:c r="C111" s="2" t="n">
        <x:v>18</x:v>
      </x:c>
      <x:c r="D111" s="2" t="n">
        <x:v>12</x:v>
      </x:c>
      <x:c r="E111" s="5" t="n">
        <x:v>26209.292438594697</x:v>
      </x:c>
      <x:c r="F111" s="5" t="n">
        <x:v>0</x:v>
      </x:c>
      <x:c r="G111" s="5" t="n">
        <x:v>26165.204672506545</x:v>
      </x:c>
      <x:c r="H111" s="5" t="n">
        <x:v>392.47807008759816</x:v>
      </x:c>
      <x:c r="I111" s="5" t="n">
        <x:v>44.087766088154666</x:v>
      </x:c>
      <x:c r="J111" s="5" t="n">
        <x:v>43.33838053877682</x:v>
      </x:c>
      <x:c r="K111" s="5" t="n">
        <x:v>0</x:v>
      </x:c>
      <x:c r="L111" s="5" t="n">
        <x:v>0</x:v>
      </x:c>
      <x:c r="M111" s="5" t="n">
        <x:v>0.30548631634367895</x:v>
      </x:c>
      <x:c r="N111" s="5" t="n">
        <x:v>0</x:v>
      </x:c>
      <x:c r="O111" s="5" t="n">
        <x:v>0</x:v>
      </x:c>
      <x:c r="P111" s="5" t="n">
        <x:v>0</x:v>
      </x:c>
      <x:c r="Q111" s="2" t="n">
        <x:v>181.3</x:v>
      </x:c>
    </x:row>
    <x:row r="112" ht="20" customHeight="1">
      <x:c r="A112" s="2" t="n">
        <x:v>6</x:v>
      </x:c>
      <x:c r="B112" s="2" t="str">
        <x:v>low</x:v>
      </x:c>
      <x:c r="C112" s="2" t="n">
        <x:v>19</x:v>
      </x:c>
      <x:c r="D112" s="2" t="n">
        <x:v>13</x:v>
      </x:c>
      <x:c r="E112" s="5" t="n">
        <x:v>0</x:v>
      </x:c>
      <x:c r="F112" s="5" t="n">
        <x:v>0</x:v>
      </x:c>
      <x:c r="G112" s="5" t="n">
        <x:v>0</x:v>
      </x:c>
      <x:c r="H112" s="5" t="n">
        <x:v>0</x:v>
      </x:c>
      <x:c r="I112" s="5" t="n">
        <x:v>0</x:v>
      </x:c>
      <x:c r="J112" s="5" t="n">
        <x:v>32.68945839983748</x:v>
      </x:c>
      <x:c r="K112" s="5" t="n">
        <x:v>0</x:v>
      </x:c>
      <x:c r="L112" s="5" t="n">
        <x:v>0</x:v>
      </x:c>
      <x:c r="M112" s="5" t="n">
        <x:v>0</x:v>
      </x:c>
      <x:c r="N112" s="5" t="n">
        <x:v>0</x:v>
      </x:c>
      <x:c r="O112" s="5" t="n">
        <x:v>0</x:v>
      </x:c>
      <x:c r="P112" s="5" t="n">
        <x:v>0</x:v>
      </x:c>
      <x:c r="Q112" s="2" t="n">
        <x:v>0</x:v>
      </x:c>
    </x:row>
    <x:row r="113" ht="20" customHeight="1">
      <x:c r="A113" s="2" t="n">
        <x:v>6</x:v>
      </x:c>
      <x:c r="B113" s="2" t="str">
        <x:v>low</x:v>
      </x:c>
      <x:c r="C113" s="2" t="n">
        <x:v>20</x:v>
      </x:c>
      <x:c r="D113" s="2" t="n">
        <x:v>14</x:v>
      </x:c>
      <x:c r="E113" s="5" t="n">
        <x:v>0</x:v>
      </x:c>
      <x:c r="F113" s="5" t="n">
        <x:v>0</x:v>
      </x:c>
      <x:c r="G113" s="5" t="n">
        <x:v>0</x:v>
      </x:c>
      <x:c r="H113" s="5" t="n">
        <x:v>0</x:v>
      </x:c>
      <x:c r="I113" s="5" t="n">
        <x:v>0</x:v>
      </x:c>
      <x:c r="J113" s="5" t="n">
        <x:v>21.917866184149876</x:v>
      </x:c>
      <x:c r="K113" s="5" t="n">
        <x:v>0</x:v>
      </x:c>
      <x:c r="L113" s="5" t="n">
        <x:v>0</x:v>
      </x:c>
      <x:c r="M113" s="5" t="n">
        <x:v>0</x:v>
      </x:c>
      <x:c r="N113" s="5" t="n">
        <x:v>0</x:v>
      </x:c>
      <x:c r="O113" s="5" t="n">
        <x:v>0</x:v>
      </x:c>
      <x:c r="P113" s="5" t="n">
        <x:v>0</x:v>
      </x:c>
      <x:c r="Q113" s="2" t="n">
        <x:v>0</x:v>
      </x:c>
    </x:row>
    <x:row r="114" ht="20" customHeight="1">
      <x:c r="A114" s="2" t="n">
        <x:v>6</x:v>
      </x:c>
      <x:c r="B114" s="2" t="str">
        <x:v>low</x:v>
      </x:c>
      <x:c r="C114" s="2" t="n">
        <x:v>21</x:v>
      </x:c>
      <x:c r="D114" s="2" t="n">
        <x:v>15</x:v>
      </x:c>
      <x:c r="E114" s="5" t="n">
        <x:v>0</x:v>
      </x:c>
      <x:c r="F114" s="5" t="n">
        <x:v>0</x:v>
      </x:c>
      <x:c r="G114" s="5" t="n">
        <x:v>0</x:v>
      </x:c>
      <x:c r="H114" s="5" t="n">
        <x:v>0</x:v>
      </x:c>
      <x:c r="I114" s="5" t="n">
        <x:v>0</x:v>
      </x:c>
      <x:c r="J114" s="5" t="n">
        <x:v>11.021941522038667</x:v>
      </x:c>
      <x:c r="K114" s="5" t="n">
        <x:v>0</x:v>
      </x:c>
      <x:c r="L114" s="5" t="n">
        <x:v>0</x:v>
      </x:c>
      <x:c r="M114" s="5" t="n">
        <x:v>0</x:v>
      </x:c>
      <x:c r="N114" s="5" t="n">
        <x:v>0</x:v>
      </x:c>
      <x:c r="O114" s="5" t="n">
        <x:v>0</x:v>
      </x:c>
      <x:c r="P114" s="5" t="n">
        <x:v>0</x:v>
      </x:c>
      <x:c r="Q114" s="2" t="n">
        <x:v>0</x:v>
      </x:c>
    </x:row>
    <x:row r="115" ht="20" customHeight="1">
      <x:c r="A115" s="2" t="n">
        <x:v>7</x:v>
      </x:c>
      <x:c r="B115" s="2" t="str">
        <x:v>low</x:v>
      </x:c>
      <x:c r="C115" s="2" t="n">
        <x:v>7</x:v>
      </x:c>
      <x:c r="D115" s="2" t="n">
        <x:v>0</x:v>
      </x:c>
      <x:c r="E115" s="5" t="n">
        <x:v>0</x:v>
      </x:c>
      <x:c r="F115" s="5" t="n">
        <x:v>286986.58</x:v>
      </x:c>
      <x:c r="G115" s="5" t="n">
        <x:v>0</x:v>
      </x:c>
      <x:c r="H115" s="5" t="n">
        <x:v>0</x:v>
      </x:c>
      <x:c r="I115" s="5" t="n">
        <x:v>0</x:v>
      </x:c>
      <x:c r="J115" s="5" t="n">
        <x:v>0</x:v>
      </x:c>
      <x:c r="K115" s="5" t="n">
        <x:v>286986.58</x:v>
      </x:c>
      <x:c r="L115" s="5" t="n">
        <x:v>190</x:v>
      </x:c>
      <x:c r="M115" s="5" t="n">
        <x:v>0</x:v>
      </x:c>
      <x:c r="N115" s="5" t="n">
        <x:v>190</x:v>
      </x:c>
      <x:c r="O115" s="5" t="n">
        <x:v>5739.7316</x:v>
      </x:c>
      <x:c r="P115" s="5" t="n">
        <x:v>4750</x:v>
      </x:c>
      <x:c r="Q115" s="2" t="n">
        <x:v>0</x:v>
      </x:c>
    </x:row>
    <x:row r="116" ht="20" customHeight="1">
      <x:c r="A116" s="2" t="n">
        <x:v>7</x:v>
      </x:c>
      <x:c r="B116" s="2" t="str">
        <x:v>low</x:v>
      </x:c>
      <x:c r="C116" s="2" t="n">
        <x:v>8</x:v>
      </x:c>
      <x:c r="D116" s="2" t="n">
        <x:v>1</x:v>
      </x:c>
      <x:c r="E116" s="5" t="n">
        <x:v>286986.58</x:v>
      </x:c>
      <x:c r="F116" s="5" t="n">
        <x:v>0</x:v>
      </x:c>
      <x:c r="G116" s="5" t="n">
        <x:v>21969.111472707886</x:v>
      </x:c>
      <x:c r="H116" s="5" t="n">
        <x:v>4297.557414925752</x:v>
      </x:c>
      <x:c r="I116" s="5" t="n">
        <x:v>482.75233828318864</x:v>
      </x:c>
      <x:c r="J116" s="5" t="n">
        <x:v>0</x:v>
      </x:c>
      <x:c r="K116" s="5" t="n">
        <x:v>264534.7161890089</x:v>
      </x:c>
      <x:c r="L116" s="5" t="n">
        <x:v>189.68039291497948</x:v>
      </x:c>
      <x:c r="M116" s="5" t="n">
        <x:v>0.31960708502051155</x:v>
      </x:c>
      <x:c r="N116" s="5" t="n">
        <x:v>0</x:v>
      </x:c>
      <x:c r="O116" s="5" t="n">
        <x:v>0</x:v>
      </x:c>
      <x:c r="P116" s="5" t="n">
        <x:v>0</x:v>
      </x:c>
      <x:c r="Q116" s="2" t="n">
        <x:v>189.68039291497948</x:v>
      </x:c>
    </x:row>
    <x:row r="117" ht="20" customHeight="1">
      <x:c r="A117" s="2" t="n">
        <x:v>7</x:v>
      </x:c>
      <x:c r="B117" s="2" t="str">
        <x:v>low</x:v>
      </x:c>
      <x:c r="C117" s="2" t="n">
        <x:v>9</x:v>
      </x:c>
      <x:c r="D117" s="2" t="n">
        <x:v>2</x:v>
      </x:c>
      <x:c r="E117" s="5" t="n">
        <x:v>264534.7161890089</x:v>
      </x:c>
      <x:c r="F117" s="5" t="n">
        <x:v>0</x:v>
      </x:c>
      <x:c r="G117" s="5" t="n">
        <x:v>22261.138639885572</x:v>
      </x:c>
      <x:c r="H117" s="5" t="n">
        <x:v>3961.345966293458</x:v>
      </x:c>
      <x:c r="I117" s="5" t="n">
        <x:v>444.98510277840774</x:v>
      </x:c>
      <x:c r="J117" s="5" t="n">
        <x:v>0</x:v>
      </x:c>
      <x:c r="K117" s="5" t="n">
        <x:v>241828.59244634496</x:v>
      </x:c>
      <x:c r="L117" s="5" t="n">
        <x:v>189.36132345463685</x:v>
      </x:c>
      <x:c r="M117" s="5" t="n">
        <x:v>0.3190694603426415</x:v>
      </x:c>
      <x:c r="N117" s="5" t="n">
        <x:v>0</x:v>
      </x:c>
      <x:c r="O117" s="5" t="n">
        <x:v>0</x:v>
      </x:c>
      <x:c r="P117" s="5" t="n">
        <x:v>0</x:v>
      </x:c>
      <x:c r="Q117" s="2" t="n">
        <x:v>189.36132345463685</x:v>
      </x:c>
    </x:row>
    <x:row r="118" ht="20" customHeight="1">
      <x:c r="A118" s="2" t="n">
        <x:v>7</x:v>
      </x:c>
      <x:c r="B118" s="2" t="str">
        <x:v>low</x:v>
      </x:c>
      <x:c r="C118" s="2" t="n">
        <x:v>10</x:v>
      </x:c>
      <x:c r="D118" s="2" t="n">
        <x:v>3</x:v>
      </x:c>
      <x:c r="E118" s="5" t="n">
        <x:v>241828.59244634496</x:v>
      </x:c>
      <x:c r="F118" s="5" t="n">
        <x:v>0</x:v>
      </x:c>
      <x:c r="G118" s="5" t="n">
        <x:v>22557.04761477659</x:v>
      </x:c>
      <x:c r="H118" s="5" t="n">
        <x:v>3621.3270342078276</x:v>
      </x:c>
      <x:c r="I118" s="5" t="n">
        <x:v>406.79016582310317</x:v>
      </x:c>
      <x:c r="J118" s="5" t="n">
        <x:v>0</x:v>
      </x:c>
      <x:c r="K118" s="5" t="n">
        <x:v>218864.75466574525</x:v>
      </x:c>
      <x:c r="L118" s="5" t="n">
        <x:v>189.04279071461073</x:v>
      </x:c>
      <x:c r="M118" s="5" t="n">
        <x:v>0.3185327400261195</x:v>
      </x:c>
      <x:c r="N118" s="5" t="n">
        <x:v>0</x:v>
      </x:c>
      <x:c r="O118" s="5" t="n">
        <x:v>0</x:v>
      </x:c>
      <x:c r="P118" s="5" t="n">
        <x:v>0</x:v>
      </x:c>
      <x:c r="Q118" s="2" t="n">
        <x:v>189.04279071461073</x:v>
      </x:c>
    </x:row>
    <x:row r="119" ht="20" customHeight="1">
      <x:c r="A119" s="2" t="n">
        <x:v>7</x:v>
      </x:c>
      <x:c r="B119" s="2" t="str">
        <x:v>low</x:v>
      </x:c>
      <x:c r="C119" s="2" t="n">
        <x:v>11</x:v>
      </x:c>
      <x:c r="D119" s="2" t="n">
        <x:v>4</x:v>
      </x:c>
      <x:c r="E119" s="5" t="n">
        <x:v>218864.75466574525</x:v>
      </x:c>
      <x:c r="F119" s="5" t="n">
        <x:v>0</x:v>
      </x:c>
      <x:c r="G119" s="5" t="n">
        <x:v>22856.889996796395</x:v>
      </x:c>
      <x:c r="H119" s="5" t="n">
        <x:v>3277.4488942294065</x:v>
      </x:c>
      <x:c r="I119" s="5" t="n">
        <x:v>368.16171711814866</x:v>
      </x:c>
      <x:c r="J119" s="5" t="n">
        <x:v>120.68808457079716</x:v>
      </x:c>
      <x:c r="K119" s="5" t="n">
        <x:v>195639.70295183072</x:v>
      </x:c>
      <x:c r="L119" s="5" t="n">
        <x:v>188.72479379206104</x:v>
      </x:c>
      <x:c r="M119" s="5" t="n">
        <x:v>0.3179969225496808</x:v>
      </x:c>
      <x:c r="N119" s="5" t="n">
        <x:v>0</x:v>
      </x:c>
      <x:c r="O119" s="5" t="n">
        <x:v>0</x:v>
      </x:c>
      <x:c r="P119" s="5" t="n">
        <x:v>0</x:v>
      </x:c>
      <x:c r="Q119" s="2" t="n">
        <x:v>188.72479379206104</x:v>
      </x:c>
    </x:row>
    <x:row r="120" ht="20" customHeight="1">
      <x:c r="A120" s="2" t="n">
        <x:v>7</x:v>
      </x:c>
      <x:c r="B120" s="2" t="str">
        <x:v>low</x:v>
      </x:c>
      <x:c r="C120" s="2" t="n">
        <x:v>12</x:v>
      </x:c>
      <x:c r="D120" s="2" t="n">
        <x:v>5</x:v>
      </x:c>
      <x:c r="E120" s="5" t="n">
        <x:v>195639.70295183072</x:v>
      </x:c>
      <x:c r="F120" s="5" t="n">
        <x:v>0</x:v>
      </x:c>
      <x:c r="G120" s="5" t="n">
        <x:v>23160.71807125214</x:v>
      </x:c>
      <x:c r="H120" s="5" t="n">
        <x:v>2929.6591362373515</x:v>
      </x:c>
      <x:c r="I120" s="5" t="n">
        <x:v>329.0938693405967</x:v>
      </x:c>
      <x:c r="J120" s="5" t="n">
        <x:v>111.24627569460193</x:v>
      </x:c>
      <x:c r="K120" s="5" t="n">
        <x:v>172149.89101123798</x:v>
      </x:c>
      <x:c r="L120" s="5" t="n">
        <x:v>188.40733178566643</x:v>
      </x:c>
      <x:c r="M120" s="5" t="n">
        <x:v>0.3174620063946198</x:v>
      </x:c>
      <x:c r="N120" s="5" t="n">
        <x:v>0</x:v>
      </x:c>
      <x:c r="O120" s="5" t="n">
        <x:v>0</x:v>
      </x:c>
      <x:c r="P120" s="5" t="n">
        <x:v>0</x:v>
      </x:c>
      <x:c r="Q120" s="2" t="n">
        <x:v>188.40733178566643</x:v>
      </x:c>
    </x:row>
    <x:row r="121" ht="20" customHeight="1">
      <x:c r="A121" s="2" t="n">
        <x:v>7</x:v>
      </x:c>
      <x:c r="B121" s="2" t="str">
        <x:v>low</x:v>
      </x:c>
      <x:c r="C121" s="2" t="n">
        <x:v>13</x:v>
      </x:c>
      <x:c r="D121" s="2" t="n">
        <x:v>6</x:v>
      </x:c>
      <x:c r="E121" s="5" t="n">
        <x:v>172149.89101123798</x:v>
      </x:c>
      <x:c r="F121" s="5" t="n">
        <x:v>0</x:v>
      </x:c>
      <x:c r="G121" s="5" t="n">
        <x:v>23468.58481845997</x:v>
      </x:c>
      <x:c r="H121" s="5" t="n">
        <x:v>2577.9046553117773</x:v>
      </x:c>
      <x:c r="I121" s="5" t="n">
        <x:v>289.5806571194765</x:v>
      </x:c>
      <x:c r="J121" s="5" t="n">
        <x:v>101.69754145577579</x:v>
      </x:c>
      <x:c r="K121" s="5" t="n">
        <x:v>148391.72553565854</x:v>
      </x:c>
      <x:c r="L121" s="5" t="n">
        <x:v>188.09040379562165</x:v>
      </x:c>
      <x:c r="M121" s="5" t="n">
        <x:v>0.31692799004478533</x:v>
      </x:c>
      <x:c r="N121" s="5" t="n">
        <x:v>0</x:v>
      </x:c>
      <x:c r="O121" s="5" t="n">
        <x:v>0</x:v>
      </x:c>
      <x:c r="P121" s="5" t="n">
        <x:v>0</x:v>
      </x:c>
      <x:c r="Q121" s="2" t="n">
        <x:v>188.09040379562165</x:v>
      </x:c>
    </x:row>
    <x:row r="122" ht="20" customHeight="1">
      <x:c r="A122" s="2" t="n">
        <x:v>7</x:v>
      </x:c>
      <x:c r="B122" s="2" t="str">
        <x:v>low</x:v>
      </x:c>
      <x:c r="C122" s="2" t="n">
        <x:v>14</x:v>
      </x:c>
      <x:c r="D122" s="2" t="n">
        <x:v>7</x:v>
      </x:c>
      <x:c r="E122" s="5" t="n">
        <x:v>148391.72553565854</x:v>
      </x:c>
      <x:c r="F122" s="5" t="n">
        <x:v>0</x:v>
      </x:c>
      <x:c r="G122" s="5" t="n">
        <x:v>23780.54392298353</x:v>
      </x:c>
      <x:c r="H122" s="5" t="n">
        <x:v>2222.131642494908</x:v>
      </x:c>
      <x:c r="I122" s="5" t="n">
        <x:v>249.61603599797698</x:v>
      </x:c>
      <x:c r="J122" s="5" t="n">
        <x:v>92.04042927953716</x:v>
      </x:c>
      <x:c r="K122" s="5" t="n">
        <x:v>124361.56557667702</x:v>
      </x:c>
      <x:c r="L122" s="5" t="n">
        <x:v>187.77400892363505</x:v>
      </x:c>
      <x:c r="M122" s="5" t="n">
        <x:v>0.3163948719865768</x:v>
      </x:c>
      <x:c r="N122" s="5" t="n">
        <x:v>0</x:v>
      </x:c>
      <x:c r="O122" s="5" t="n">
        <x:v>0</x:v>
      </x:c>
      <x:c r="P122" s="5" t="n">
        <x:v>0</x:v>
      </x:c>
      <x:c r="Q122" s="2" t="n">
        <x:v>187.77400892363505</x:v>
      </x:c>
    </x:row>
    <x:row r="123" ht="20" customHeight="1">
      <x:c r="A123" s="2" t="n">
        <x:v>7</x:v>
      </x:c>
      <x:c r="B123" s="2" t="str">
        <x:v>low</x:v>
      </x:c>
      <x:c r="C123" s="2" t="n">
        <x:v>15</x:v>
      </x:c>
      <x:c r="D123" s="2" t="n">
        <x:v>8</x:v>
      </x:c>
      <x:c r="E123" s="5" t="n">
        <x:v>124361.56557667702</x:v>
      </x:c>
      <x:c r="F123" s="5" t="n">
        <x:v>0</x:v>
      </x:c>
      <x:c r="G123" s="5" t="n">
        <x:v>24096.649782995235</x:v>
      </x:c>
      <x:c r="H123" s="5" t="n">
        <x:v>1862.2855754294278</x:v>
      </x:c>
      <x:c r="I123" s="5" t="n">
        <x:v>209.1938813818365</x:v>
      </x:c>
      <x:c r="J123" s="5" t="n">
        <x:v>82.27346733514918</x:v>
      </x:c>
      <x:c r="K123" s="5" t="n">
        <x:v>100055.72191229995</x:v>
      </x:c>
      <x:c r="L123" s="5" t="n">
        <x:v>187.45814627292611</x:v>
      </x:c>
      <x:c r="M123" s="5" t="n">
        <x:v>0.3158626507089396</x:v>
      </x:c>
      <x:c r="N123" s="5" t="n">
        <x:v>0</x:v>
      </x:c>
      <x:c r="O123" s="5" t="n">
        <x:v>0</x:v>
      </x:c>
      <x:c r="P123" s="5" t="n">
        <x:v>0</x:v>
      </x:c>
      <x:c r="Q123" s="2" t="n">
        <x:v>187.45814627292611</x:v>
      </x:c>
    </x:row>
    <x:row r="124" ht="20" customHeight="1">
      <x:c r="A124" s="2" t="n">
        <x:v>7</x:v>
      </x:c>
      <x:c r="B124" s="2" t="str">
        <x:v>low</x:v>
      </x:c>
      <x:c r="C124" s="2" t="n">
        <x:v>16</x:v>
      </x:c>
      <x:c r="D124" s="2" t="n">
        <x:v>9</x:v>
      </x:c>
      <x:c r="E124" s="5" t="n">
        <x:v>100055.72191229995</x:v>
      </x:c>
      <x:c r="F124" s="5" t="n">
        <x:v>0</x:v>
      </x:c>
      <x:c r="G124" s="5" t="n">
        <x:v>24416.95751976205</x:v>
      </x:c>
      <x:c r="H124" s="5" t="n">
        <x:v>1498.3112088723929</x:v>
      </x:c>
      <x:c r="I124" s="5" t="n">
        <x:v>168.3079874737532</x:v>
      </x:c>
      <x:c r="J124" s="5" t="n">
        <x:v>72.39516427986912</x:v>
      </x:c>
      <x:c r="K124" s="5" t="n">
        <x:v>75470.45640506415</x:v>
      </x:c>
      <x:c r="L124" s="5" t="n">
        <x:v>187.14281494822276</x:v>
      </x:c>
      <x:c r="M124" s="5" t="n">
        <x:v>0.315331324703361</x:v>
      </x:c>
      <x:c r="N124" s="5" t="n">
        <x:v>0</x:v>
      </x:c>
      <x:c r="O124" s="5" t="n">
        <x:v>0</x:v>
      </x:c>
      <x:c r="P124" s="5" t="n">
        <x:v>0</x:v>
      </x:c>
      <x:c r="Q124" s="2" t="n">
        <x:v>187.14281494822276</x:v>
      </x:c>
    </x:row>
    <x:row r="125" ht="20" customHeight="1">
      <x:c r="A125" s="2" t="n">
        <x:v>7</x:v>
      </x:c>
      <x:c r="B125" s="2" t="str">
        <x:v>low</x:v>
      </x:c>
      <x:c r="C125" s="2" t="n">
        <x:v>17</x:v>
      </x:c>
      <x:c r="D125" s="2" t="n">
        <x:v>10</x:v>
      </x:c>
      <x:c r="E125" s="5" t="n">
        <x:v>75470.45640506415</x:v>
      </x:c>
      <x:c r="F125" s="5" t="n">
        <x:v>0</x:v>
      </x:c>
      <x:c r="G125" s="5" t="n">
        <x:v>24741.522987257267</x:v>
      </x:c>
      <x:c r="H125" s="5" t="n">
        <x:v>1130.1525650830577</x:v>
      </x:c>
      <x:c r="I125" s="5" t="n">
        <x:v>126.95206619363235</x:v>
      </x:c>
      <x:c r="J125" s="5" t="n">
        <x:v>62.404008999494245</x:v>
      </x:c>
      <x:c r="K125" s="5" t="n">
        <x:v>50601.98135161325</x:v>
      </x:c>
      <x:c r="L125" s="5" t="n">
        <x:v>186.8280140557589</x:v>
      </x:c>
      <x:c r="M125" s="5" t="n">
        <x:v>0.3148008924638657</x:v>
      </x:c>
      <x:c r="N125" s="5" t="n">
        <x:v>0</x:v>
      </x:c>
      <x:c r="O125" s="5" t="n">
        <x:v>0</x:v>
      </x:c>
      <x:c r="P125" s="5" t="n">
        <x:v>0</x:v>
      </x:c>
      <x:c r="Q125" s="2" t="n">
        <x:v>186.8280140557589</x:v>
      </x:c>
    </x:row>
    <x:row r="126" ht="20" customHeight="1">
      <x:c r="A126" s="2" t="n">
        <x:v>7</x:v>
      </x:c>
      <x:c r="B126" s="2" t="str">
        <x:v>low</x:v>
      </x:c>
      <x:c r="C126" s="2" t="n">
        <x:v>18</x:v>
      </x:c>
      <x:c r="D126" s="2" t="n">
        <x:v>11</x:v>
      </x:c>
      <x:c r="E126" s="5" t="n">
        <x:v>50601.98135161325</x:v>
      </x:c>
      <x:c r="F126" s="5" t="n">
        <x:v>0</x:v>
      </x:c>
      <x:c r="G126" s="5" t="n">
        <x:v>25070.40278190013</x:v>
      </x:c>
      <x:c r="H126" s="5" t="n">
        <x:v>757.7529240829315</x:v>
      </x:c>
      <x:c r="I126" s="5" t="n">
        <x:v>85.11974608448102</x:v>
      </x:c>
      <x:c r="J126" s="5" t="n">
        <x:v>52.29847034545912</x:v>
      </x:c>
      <x:c r="K126" s="5" t="n">
        <x:v>25446.458823628633</x:v>
      </x:c>
      <x:c r="L126" s="5" t="n">
        <x:v>186.51374270327187</x:v>
      </x:c>
      <x:c r="M126" s="5" t="n">
        <x:v>0.3142713524870119</x:v>
      </x:c>
      <x:c r="N126" s="5" t="n">
        <x:v>0</x:v>
      </x:c>
      <x:c r="O126" s="5" t="n">
        <x:v>0</x:v>
      </x:c>
      <x:c r="P126" s="5" t="n">
        <x:v>0</x:v>
      </x:c>
      <x:c r="Q126" s="2" t="n">
        <x:v>186.51374270327187</x:v>
      </x:c>
    </x:row>
    <x:row r="127" ht="20" customHeight="1">
      <x:c r="A127" s="2" t="n">
        <x:v>7</x:v>
      </x:c>
      <x:c r="B127" s="2" t="str">
        <x:v>low</x:v>
      </x:c>
      <x:c r="C127" s="2" t="n">
        <x:v>19</x:v>
      </x:c>
      <x:c r="D127" s="2" t="n">
        <x:v>12</x:v>
      </x:c>
      <x:c r="E127" s="5" t="n">
        <x:v>25446.458823628633</x:v>
      </x:c>
      <x:c r="F127" s="5" t="n">
        <x:v>0</x:v>
      </x:c>
      <x:c r="G127" s="5" t="n">
        <x:v>25403.654252424873</x:v>
      </x:c>
      <x:c r="H127" s="5" t="n">
        <x:v>381.05481378637313</x:v>
      </x:c>
      <x:c r="I127" s="5" t="n">
        <x:v>42.80457120376012</x:v>
      </x:c>
      <x:c r="J127" s="5" t="n">
        <x:v>42.0769968684383</x:v>
      </x:c>
      <x:c r="K127" s="5" t="n">
        <x:v>0</x:v>
      </x:c>
      <x:c r="L127" s="5" t="n">
        <x:v>0</x:v>
      </x:c>
      <x:c r="M127" s="5" t="n">
        <x:v>0.31374270327188647</x:v>
      </x:c>
      <x:c r="N127" s="5" t="n">
        <x:v>0</x:v>
      </x:c>
      <x:c r="O127" s="5" t="n">
        <x:v>0</x:v>
      </x:c>
      <x:c r="P127" s="5" t="n">
        <x:v>0</x:v>
      </x:c>
      <x:c r="Q127" s="2" t="n">
        <x:v>186.2</x:v>
      </x:c>
    </x:row>
    <x:row r="128" ht="20" customHeight="1">
      <x:c r="A128" s="2" t="n">
        <x:v>7</x:v>
      </x:c>
      <x:c r="B128" s="2" t="str">
        <x:v>low</x:v>
      </x:c>
      <x:c r="C128" s="2" t="n">
        <x:v>20</x:v>
      </x:c>
      <x:c r="D128" s="2" t="n">
        <x:v>13</x:v>
      </x:c>
      <x:c r="E128" s="5" t="n">
        <x:v>0</x:v>
      </x:c>
      <x:c r="F128" s="5" t="n">
        <x:v>0</x:v>
      </x:c>
      <x:c r="G128" s="5" t="n">
        <x:v>0</x:v>
      </x:c>
      <x:c r="H128" s="5" t="n">
        <x:v>0</x:v>
      </x:c>
      <x:c r="I128" s="5" t="n">
        <x:v>0</x:v>
      </x:c>
      <x:c r="J128" s="5" t="n">
        <x:v>31.738016548408087</x:v>
      </x:c>
      <x:c r="K128" s="5" t="n">
        <x:v>0</x:v>
      </x:c>
      <x:c r="L128" s="5" t="n">
        <x:v>0</x:v>
      </x:c>
      <x:c r="M128" s="5" t="n">
        <x:v>0</x:v>
      </x:c>
      <x:c r="N128" s="5" t="n">
        <x:v>0</x:v>
      </x:c>
      <x:c r="O128" s="5" t="n">
        <x:v>0</x:v>
      </x:c>
      <x:c r="P128" s="5" t="n">
        <x:v>0</x:v>
      </x:c>
      <x:c r="Q128" s="2" t="n">
        <x:v>0</x:v>
      </x:c>
    </x:row>
    <x:row r="129" ht="20" customHeight="1">
      <x:c r="A129" s="2" t="n">
        <x:v>7</x:v>
      </x:c>
      <x:c r="B129" s="2" t="str">
        <x:v>low</x:v>
      </x:c>
      <x:c r="C129" s="2" t="n">
        <x:v>21</x:v>
      </x:c>
      <x:c r="D129" s="2" t="n">
        <x:v>14</x:v>
      </x:c>
      <x:c r="E129" s="5" t="n">
        <x:v>0</x:v>
      </x:c>
      <x:c r="F129" s="5" t="n">
        <x:v>0</x:v>
      </x:c>
      <x:c r="G129" s="5" t="n">
        <x:v>0</x:v>
      </x:c>
      <x:c r="H129" s="5" t="n">
        <x:v>0</x:v>
      </x:c>
      <x:c r="I129" s="5" t="n">
        <x:v>0</x:v>
      </x:c>
      <x:c r="J129" s="5" t="n">
        <x:v>21.279936521120256</x:v>
      </x:c>
      <x:c r="K129" s="5" t="n">
        <x:v>0</x:v>
      </x:c>
      <x:c r="L129" s="5" t="n">
        <x:v>0</x:v>
      </x:c>
      <x:c r="M129" s="5" t="n">
        <x:v>0</x:v>
      </x:c>
      <x:c r="N129" s="5" t="n">
        <x:v>0</x:v>
      </x:c>
      <x:c r="O129" s="5" t="n">
        <x:v>0</x:v>
      </x:c>
      <x:c r="P129" s="5" t="n">
        <x:v>0</x:v>
      </x:c>
      <x:c r="Q129" s="2" t="n">
        <x:v>0</x:v>
      </x:c>
    </x:row>
    <x:row r="130" ht="20" customHeight="1">
      <x:c r="A130" s="2" t="n">
        <x:v>7</x:v>
      </x:c>
      <x:c r="B130" s="2" t="str">
        <x:v>low</x:v>
      </x:c>
      <x:c r="C130" s="2" t="n">
        <x:v>22</x:v>
      </x:c>
      <x:c r="D130" s="2" t="n">
        <x:v>15</x:v>
      </x:c>
      <x:c r="E130" s="5" t="n">
        <x:v>0</x:v>
      </x:c>
      <x:c r="F130" s="5" t="n">
        <x:v>0</x:v>
      </x:c>
      <x:c r="G130" s="5" t="n">
        <x:v>0</x:v>
      </x:c>
      <x:c r="H130" s="5" t="n">
        <x:v>0</x:v>
      </x:c>
      <x:c r="I130" s="5" t="n">
        <x:v>0</x:v>
      </x:c>
      <x:c r="J130" s="5" t="n">
        <x:v>10.70114280094003</x:v>
      </x:c>
      <x:c r="K130" s="5" t="n">
        <x:v>0</x:v>
      </x:c>
      <x:c r="L130" s="5" t="n">
        <x:v>0</x:v>
      </x:c>
      <x:c r="M130" s="5" t="n">
        <x:v>0</x:v>
      </x:c>
      <x:c r="N130" s="5" t="n">
        <x:v>0</x:v>
      </x:c>
      <x:c r="O130" s="5" t="n">
        <x:v>0</x:v>
      </x:c>
      <x:c r="P130" s="5" t="n">
        <x:v>0</x:v>
      </x:c>
      <x:c r="Q130" s="2" t="n">
        <x:v>0</x:v>
      </x:c>
    </x:row>
    <x:row r="131" ht="20" customHeight="1">
      <x:c r="A131" s="2" t="n">
        <x:v>8</x:v>
      </x:c>
      <x:c r="B131" s="2" t="str">
        <x:v>low</x:v>
      </x:c>
      <x:c r="C131" s="2" t="n">
        <x:v>8</x:v>
      </x:c>
      <x:c r="D131" s="2" t="n">
        <x:v>0</x:v>
      </x:c>
      <x:c r="E131" s="5" t="n">
        <x:v>0</x:v>
      </x:c>
      <x:c r="F131" s="5" t="n">
        <x:v>270774.54</x:v>
      </x:c>
      <x:c r="G131" s="5" t="n">
        <x:v>0</x:v>
      </x:c>
      <x:c r="H131" s="5" t="n">
        <x:v>0</x:v>
      </x:c>
      <x:c r="I131" s="5" t="n">
        <x:v>0</x:v>
      </x:c>
      <x:c r="J131" s="5" t="n">
        <x:v>0</x:v>
      </x:c>
      <x:c r="K131" s="5" t="n">
        <x:v>270774.54</x:v>
      </x:c>
      <x:c r="L131" s="5" t="n">
        <x:v>184</x:v>
      </x:c>
      <x:c r="M131" s="5" t="n">
        <x:v>0</x:v>
      </x:c>
      <x:c r="N131" s="5" t="n">
        <x:v>184</x:v>
      </x:c>
      <x:c r="O131" s="5" t="n">
        <x:v>5415.4908</x:v>
      </x:c>
      <x:c r="P131" s="5" t="n">
        <x:v>4600</x:v>
      </x:c>
      <x:c r="Q131" s="2" t="n">
        <x:v>0</x:v>
      </x:c>
    </x:row>
    <x:row r="132" ht="20" customHeight="1">
      <x:c r="A132" s="2" t="n">
        <x:v>8</x:v>
      </x:c>
      <x:c r="B132" s="2" t="str">
        <x:v>low</x:v>
      </x:c>
      <x:c r="C132" s="2" t="n">
        <x:v>9</x:v>
      </x:c>
      <x:c r="D132" s="2" t="n">
        <x:v>1</x:v>
      </x:c>
      <x:c r="E132" s="5" t="n">
        <x:v>270774.54</x:v>
      </x:c>
      <x:c r="F132" s="5" t="n">
        <x:v>0</x:v>
      </x:c>
      <x:c r="G132" s="5" t="n">
        <x:v>20728.063497711984</x:v>
      </x:c>
      <x:c r="H132" s="5" t="n">
        <x:v>4054.785879361013</x:v>
      </x:c>
      <x:c r="I132" s="5" t="n">
        <x:v>455.48137593247316</x:v>
      </x:c>
      <x:c r="J132" s="5" t="n">
        <x:v>0</x:v>
      </x:c>
      <x:c r="K132" s="5" t="n">
        <x:v>249590.99512635556</x:v>
      </x:c>
      <x:c r="L132" s="5" t="n">
        <x:v>183.69048577029594</x:v>
      </x:c>
      <x:c r="M132" s="5" t="n">
        <x:v>0.30951422970407433</x:v>
      </x:c>
      <x:c r="N132" s="5" t="n">
        <x:v>0</x:v>
      </x:c>
      <x:c r="O132" s="5" t="n">
        <x:v>0</x:v>
      </x:c>
      <x:c r="P132" s="5" t="n">
        <x:v>0</x:v>
      </x:c>
      <x:c r="Q132" s="2" t="n">
        <x:v>183.69048577029594</x:v>
      </x:c>
    </x:row>
    <x:row r="133" ht="20" customHeight="1">
      <x:c r="A133" s="2" t="n">
        <x:v>8</x:v>
      </x:c>
      <x:c r="B133" s="2" t="str">
        <x:v>low</x:v>
      </x:c>
      <x:c r="C133" s="2" t="n">
        <x:v>10</x:v>
      </x:c>
      <x:c r="D133" s="2" t="n">
        <x:v>2</x:v>
      </x:c>
      <x:c r="E133" s="5" t="n">
        <x:v>249590.99512635556</x:v>
      </x:c>
      <x:c r="F133" s="5" t="n">
        <x:v>0</x:v>
      </x:c>
      <x:c r="G133" s="5" t="n">
        <x:v>21003.593879167594</x:v>
      </x:c>
      <x:c r="H133" s="5" t="n">
        <x:v>3737.5672123900936</x:v>
      </x:c>
      <x:c r="I133" s="5" t="n">
        <x:v>419.8476336826484</x:v>
      </x:c>
      <x:c r="J133" s="5" t="n">
        <x:v>0</x:v>
      </x:c>
      <x:c r="K133" s="5" t="n">
        <x:v>228167.5536135053</x:v>
      </x:c>
      <x:c r="L133" s="5" t="n">
        <x:v>183.38149218764832</x:v>
      </x:c>
      <x:c r="M133" s="5" t="n">
        <x:v>0.30899358264761073</x:v>
      </x:c>
      <x:c r="N133" s="5" t="n">
        <x:v>0</x:v>
      </x:c>
      <x:c r="O133" s="5" t="n">
        <x:v>0</x:v>
      </x:c>
      <x:c r="P133" s="5" t="n">
        <x:v>0</x:v>
      </x:c>
      <x:c r="Q133" s="2" t="n">
        <x:v>183.38149218764832</x:v>
      </x:c>
    </x:row>
    <x:row r="134" ht="20" customHeight="1">
      <x:c r="A134" s="2" t="n">
        <x:v>8</x:v>
      </x:c>
      <x:c r="B134" s="2" t="str">
        <x:v>low</x:v>
      </x:c>
      <x:c r="C134" s="2" t="n">
        <x:v>11</x:v>
      </x:c>
      <x:c r="D134" s="2" t="n">
        <x:v>3</x:v>
      </x:c>
      <x:c r="E134" s="5" t="n">
        <x:v>228167.5536135053</x:v>
      </x:c>
      <x:c r="F134" s="5" t="n">
        <x:v>0</x:v>
      </x:c>
      <x:c r="G134" s="5" t="n">
        <x:v>21282.78678274513</x:v>
      </x:c>
      <x:c r="H134" s="5" t="n">
        <x:v>3416.7561489362633</x:v>
      </x:c>
      <x:c r="I134" s="5" t="n">
        <x:v>383.8103510877564</x:v>
      </x:c>
      <x:c r="J134" s="5" t="n">
        <x:v>0</x:v>
      </x:c>
      <x:c r="K134" s="5" t="n">
        <x:v>206500.9564796724</x:v>
      </x:c>
      <x:c r="L134" s="5" t="n">
        <x:v>183.0730183762546</x:v>
      </x:c>
      <x:c r="M134" s="5" t="n">
        <x:v>0.3084738113937157</x:v>
      </x:c>
      <x:c r="N134" s="5" t="n">
        <x:v>0</x:v>
      </x:c>
      <x:c r="O134" s="5" t="n">
        <x:v>0</x:v>
      </x:c>
      <x:c r="P134" s="5" t="n">
        <x:v>0</x:v>
      </x:c>
      <x:c r="Q134" s="2" t="n">
        <x:v>183.0730183762546</x:v>
      </x:c>
    </x:row>
    <x:row r="135" ht="20" customHeight="1">
      <x:c r="A135" s="2" t="n">
        <x:v>8</x:v>
      </x:c>
      <x:c r="B135" s="2" t="str">
        <x:v>low</x:v>
      </x:c>
      <x:c r="C135" s="2" t="n">
        <x:v>12</x:v>
      </x:c>
      <x:c r="D135" s="2" t="n">
        <x:v>4</x:v>
      </x:c>
      <x:c r="E135" s="5" t="n">
        <x:v>206500.9564796724</x:v>
      </x:c>
      <x:c r="F135" s="5" t="n">
        <x:v>0</x:v>
      </x:c>
      <x:c r="G135" s="5" t="n">
        <x:v>21565.690892978848</x:v>
      </x:c>
      <x:c r="H135" s="5" t="n">
        <x:v>3092.303886503948</x:v>
      </x:c>
      <x:c r="I135" s="5" t="n">
        <x:v>347.36404607587167</x:v>
      </x:c>
      <x:c r="J135" s="5" t="n">
        <x:v>113.87034398311829</x:v>
      </x:c>
      <x:c r="K135" s="5" t="n">
        <x:v>184587.9015406177</x:v>
      </x:c>
      <x:c r="L135" s="5" t="n">
        <x:v>182.76506346178545</x:v>
      </x:c>
      <x:c r="M135" s="5" t="n">
        <x:v>0.3079549144691646</x:v>
      </x:c>
      <x:c r="N135" s="5" t="n">
        <x:v>0</x:v>
      </x:c>
      <x:c r="O135" s="5" t="n">
        <x:v>0</x:v>
      </x:c>
      <x:c r="P135" s="5" t="n">
        <x:v>0</x:v>
      </x:c>
      <x:c r="Q135" s="2" t="n">
        <x:v>182.76506346178545</x:v>
      </x:c>
    </x:row>
    <x:row r="136" ht="20" customHeight="1">
      <x:c r="A136" s="2" t="n">
        <x:v>8</x:v>
      </x:c>
      <x:c r="B136" s="2" t="str">
        <x:v>low</x:v>
      </x:c>
      <x:c r="C136" s="2" t="n">
        <x:v>13</x:v>
      </x:c>
      <x:c r="D136" s="2" t="n">
        <x:v>5</x:v>
      </x:c>
      <x:c r="E136" s="5" t="n">
        <x:v>184587.9015406177</x:v>
      </x:c>
      <x:c r="F136" s="5" t="n">
        <x:v>0</x:v>
      </x:c>
      <x:c r="G136" s="5" t="n">
        <x:v>21852.35554154827</x:v>
      </x:c>
      <x:c r="H136" s="5" t="n">
        <x:v>2764.16097565073</x:v>
      </x:c>
      <x:c r="I136" s="5" t="n">
        <x:v>310.5031639023685</x:v>
      </x:c>
      <x:c r="J136" s="5" t="n">
        <x:v>104.9619084206621</x:v>
      </x:c>
      <x:c r="K136" s="5" t="n">
        <x:v>162425.04283516706</x:v>
      </x:c>
      <x:c r="L136" s="5" t="n">
        <x:v>182.45762657138224</x:v>
      </x:c>
      <x:c r="M136" s="5" t="n">
        <x:v>0.30743689040321076</x:v>
      </x:c>
      <x:c r="N136" s="5" t="n">
        <x:v>0</x:v>
      </x:c>
      <x:c r="O136" s="5" t="n">
        <x:v>0</x:v>
      </x:c>
      <x:c r="P136" s="5" t="n">
        <x:v>0</x:v>
      </x:c>
      <x:c r="Q136" s="2" t="n">
        <x:v>182.45762657138224</x:v>
      </x:c>
    </x:row>
    <x:row r="137" ht="20" customHeight="1">
      <x:c r="A137" s="2" t="n">
        <x:v>8</x:v>
      </x:c>
      <x:c r="B137" s="2" t="str">
        <x:v>low</x:v>
      </x:c>
      <x:c r="C137" s="2" t="n">
        <x:v>14</x:v>
      </x:c>
      <x:c r="D137" s="2" t="n">
        <x:v>6</x:v>
      </x:c>
      <x:c r="E137" s="5" t="n">
        <x:v>162425.04283516706</x:v>
      </x:c>
      <x:c r="F137" s="5" t="n">
        <x:v>0</x:v>
      </x:c>
      <x:c r="G137" s="5" t="n">
        <x:v>22142.83071588045</x:v>
      </x:c>
      <x:c r="H137" s="5" t="n">
        <x:v>2432.277311384752</x:v>
      </x:c>
      <x:c r="I137" s="5" t="n">
        <x:v>273.2220761835761</x:v>
      </x:c>
      <x:c r="J137" s="5" t="n">
        <x:v>95.9525877719391</x:v>
      </x:c>
      <x:c r="K137" s="5" t="n">
        <x:v>140008.99004310303</x:v>
      </x:c>
      <x:c r="L137" s="5" t="n">
        <x:v>182.15070683365465</x:v>
      </x:c>
      <x:c r="M137" s="5" t="n">
        <x:v>0.3069197377275816</x:v>
      </x:c>
      <x:c r="N137" s="5" t="n">
        <x:v>0</x:v>
      </x:c>
      <x:c r="O137" s="5" t="n">
        <x:v>0</x:v>
      </x:c>
      <x:c r="P137" s="5" t="n">
        <x:v>0</x:v>
      </x:c>
      <x:c r="Q137" s="2" t="n">
        <x:v>182.15070683365465</x:v>
      </x:c>
    </x:row>
    <x:row r="138" ht="20" customHeight="1">
      <x:c r="A138" s="2" t="n">
        <x:v>8</x:v>
      </x:c>
      <x:c r="B138" s="2" t="str">
        <x:v>low</x:v>
      </x:c>
      <x:c r="C138" s="2" t="n">
        <x:v>15</x:v>
      </x:c>
      <x:c r="D138" s="2" t="n">
        <x:v>7</x:v>
      </x:c>
      <x:c r="E138" s="5" t="n">
        <x:v>140008.99004310303</x:v>
      </x:c>
      <x:c r="F138" s="5" t="n">
        <x:v>0</x:v>
      </x:c>
      <x:c r="G138" s="5" t="n">
        <x:v>22437.167067866587</x:v>
      </x:c>
      <x:c r="H138" s="5" t="n">
        <x:v>2096.6021244477815</x:v>
      </x:c>
      <x:c r="I138" s="5" t="n">
        <x:v>235.5150799175894</x:v>
      </x:c>
      <x:c r="J138" s="5" t="n">
        <x:v>86.84101151896792</x:v>
      </x:c>
      <x:c r="K138" s="5" t="n">
        <x:v>117336.30789531885</x:v>
      </x:c>
      <x:c r="L138" s="5" t="n">
        <x:v>181.84430337867818</x:v>
      </x:c>
      <x:c r="M138" s="5" t="n">
        <x:v>0.30640345497647437</x:v>
      </x:c>
      <x:c r="N138" s="5" t="n">
        <x:v>0</x:v>
      </x:c>
      <x:c r="O138" s="5" t="n">
        <x:v>0</x:v>
      </x:c>
      <x:c r="P138" s="5" t="n">
        <x:v>0</x:v>
      </x:c>
      <x:c r="Q138" s="2" t="n">
        <x:v>181.84430337867818</x:v>
      </x:c>
    </x:row>
    <x:row r="139" ht="20" customHeight="1">
      <x:c r="A139" s="2" t="n">
        <x:v>8</x:v>
      </x:c>
      <x:c r="B139" s="2" t="str">
        <x:v>low</x:v>
      </x:c>
      <x:c r="C139" s="2" t="n">
        <x:v>16</x:v>
      </x:c>
      <x:c r="D139" s="2" t="n">
        <x:v>8</x:v>
      </x:c>
      <x:c r="E139" s="5" t="n">
        <x:v>117336.30789531885</x:v>
      </x:c>
      <x:c r="F139" s="5" t="n">
        <x:v>0</x:v>
      </x:c>
      <x:c r="G139" s="5" t="n">
        <x:v>22735.415922694487</x:v>
      </x:c>
      <x:c r="H139" s="5" t="n">
        <x:v>1757.0839724824018</x:v>
      </x:c>
      <x:c r="I139" s="5" t="n">
        <x:v>197.37639649206363</x:v>
      </x:c>
      <x:c r="J139" s="5" t="n">
        <x:v>77.62579097559212</x:v>
      </x:c>
      <x:c r="K139" s="5" t="n">
        <x:v>94403.5155761323</x:v>
      </x:c>
      <x:c r="L139" s="5" t="n">
        <x:v>181.5384153379916</x:v>
      </x:c>
      <x:c r="M139" s="5" t="n">
        <x:v>0.305888040686552</x:v>
      </x:c>
      <x:c r="N139" s="5" t="n">
        <x:v>0</x:v>
      </x:c>
      <x:c r="O139" s="5" t="n">
        <x:v>0</x:v>
      </x:c>
      <x:c r="P139" s="5" t="n">
        <x:v>0</x:v>
      </x:c>
      <x:c r="Q139" s="2" t="n">
        <x:v>181.5384153379916</x:v>
      </x:c>
    </x:row>
    <x:row r="140" ht="20" customHeight="1">
      <x:c r="A140" s="2" t="n">
        <x:v>8</x:v>
      </x:c>
      <x:c r="B140" s="2" t="str">
        <x:v>low</x:v>
      </x:c>
      <x:c r="C140" s="2" t="n">
        <x:v>17</x:v>
      </x:c>
      <x:c r="D140" s="2" t="n">
        <x:v>9</x:v>
      </x:c>
      <x:c r="E140" s="5" t="n">
        <x:v>94403.5155761323</x:v>
      </x:c>
      <x:c r="F140" s="5" t="n">
        <x:v>0</x:v>
      </x:c>
      <x:c r="G140" s="5" t="n">
        <x:v>23037.629287798438</x:v>
      </x:c>
      <x:c r="H140" s="5" t="n">
        <x:v>1413.6707310818022</x:v>
      </x:c>
      <x:c r="I140" s="5" t="n">
        <x:v>158.8001706788216</x:v>
      </x:c>
      <x:c r="J140" s="5" t="n">
        <x:v>68.30551904589403</x:v>
      </x:c>
      <x:c r="K140" s="5" t="n">
        <x:v>71207.08611765504</x:v>
      </x:c>
      <x:c r="L140" s="5" t="n">
        <x:v>181.23304184459468</x:v>
      </x:c>
      <x:c r="M140" s="5" t="n">
        <x:v>0.3053734933969391</x:v>
      </x:c>
      <x:c r="N140" s="5" t="n">
        <x:v>0</x:v>
      </x:c>
      <x:c r="O140" s="5" t="n">
        <x:v>0</x:v>
      </x:c>
      <x:c r="P140" s="5" t="n">
        <x:v>0</x:v>
      </x:c>
      <x:c r="Q140" s="2" t="n">
        <x:v>181.23304184459468</x:v>
      </x:c>
    </x:row>
    <x:row r="141" ht="20" customHeight="1">
      <x:c r="A141" s="2" t="n">
        <x:v>8</x:v>
      </x:c>
      <x:c r="B141" s="2" t="str">
        <x:v>low</x:v>
      </x:c>
      <x:c r="C141" s="2" t="n">
        <x:v>18</x:v>
      </x:c>
      <x:c r="D141" s="2" t="n">
        <x:v>10</x:v>
      </x:c>
      <x:c r="E141" s="5" t="n">
        <x:v>71207.08611765504</x:v>
      </x:c>
      <x:c r="F141" s="5" t="n">
        <x:v>0</x:v>
      </x:c>
      <x:c r="G141" s="5" t="n">
        <x:v>23343.859861928082</x:v>
      </x:c>
      <x:c r="H141" s="5" t="n">
        <x:v>1066.309584720599</x:v>
      </x:c>
      <x:c r="I141" s="5" t="n">
        <x:v>119.78046961509611</x:v>
      </x:c>
      <x:c r="J141" s="5" t="n">
        <x:v>58.87876997939735</x:v>
      </x:c>
      <x:c r="K141" s="5" t="n">
        <x:v>47743.445786111864</x:v>
      </x:c>
      <x:c r="L141" s="5" t="n">
        <x:v>180.92818203294547</x:v>
      </x:c>
      <x:c r="M141" s="5" t="n">
        <x:v>0.3048598116492173</x:v>
      </x:c>
      <x:c r="N141" s="5" t="n">
        <x:v>0</x:v>
      </x:c>
      <x:c r="O141" s="5" t="n">
        <x:v>0</x:v>
      </x:c>
      <x:c r="P141" s="5" t="n">
        <x:v>0</x:v>
      </x:c>
      <x:c r="Q141" s="2" t="n">
        <x:v>180.92818203294547</x:v>
      </x:c>
    </x:row>
    <x:row r="142" ht="20" customHeight="1">
      <x:c r="A142" s="2" t="n">
        <x:v>8</x:v>
      </x:c>
      <x:c r="B142" s="2" t="str">
        <x:v>low</x:v>
      </x:c>
      <x:c r="C142" s="2" t="n">
        <x:v>19</x:v>
      </x:c>
      <x:c r="D142" s="2" t="n">
        <x:v>11</x:v>
      </x:c>
      <x:c r="E142" s="5" t="n">
        <x:v>47743.445786111864</x:v>
      </x:c>
      <x:c r="F142" s="5" t="n">
        <x:v>0</x:v>
      </x:c>
      <x:c r="G142" s="5" t="n">
        <x:v>23654.161044337783</x:v>
      </x:c>
      <x:c r="H142" s="5" t="n">
        <x:v>714.9470175651095</x:v>
      </x:c>
      <x:c r="I142" s="5" t="n">
        <x:v>80.31128177123178</x:v>
      </x:c>
      <x:c r="J142" s="5" t="n">
        <x:v>49.34409912301591</x:v>
      </x:c>
      <x:c r="K142" s="5" t="n">
        <x:v>24008.97346000285</x:v>
      </x:c>
      <x:c r="L142" s="5" t="n">
        <x:v>180.62383503895805</x:v>
      </x:c>
      <x:c r="M142" s="5" t="n">
        <x:v>0.30434699398742204</x:v>
      </x:c>
      <x:c r="N142" s="5" t="n">
        <x:v>0</x:v>
      </x:c>
      <x:c r="O142" s="5" t="n">
        <x:v>0</x:v>
      </x:c>
      <x:c r="P142" s="5" t="n">
        <x:v>0</x:v>
      </x:c>
      <x:c r="Q142" s="2" t="n">
        <x:v>180.62383503895805</x:v>
      </x:c>
    </x:row>
    <x:row r="143" ht="20" customHeight="1">
      <x:c r="A143" s="2" t="n">
        <x:v>8</x:v>
      </x:c>
      <x:c r="B143" s="2" t="str">
        <x:v>low</x:v>
      </x:c>
      <x:c r="C143" s="2" t="n">
        <x:v>20</x:v>
      </x:c>
      <x:c r="D143" s="2" t="n">
        <x:v>12</x:v>
      </x:c>
      <x:c r="E143" s="5" t="n">
        <x:v>24008.97346000285</x:v>
      </x:c>
      <x:c r="F143" s="5" t="n">
        <x:v>0</x:v>
      </x:c>
      <x:c r="G143" s="5" t="n">
        <x:v>23968.586944098184</x:v>
      </x:c>
      <x:c r="H143" s="5" t="n">
        <x:v>359.52880416147275</x:v>
      </x:c>
      <x:c r="I143" s="5" t="n">
        <x:v>40.386515904664925</x:v>
      </x:c>
      <x:c r="J143" s="5" t="n">
        <x:v>39.7000426697054</x:v>
      </x:c>
      <x:c r="K143" s="5" t="n">
        <x:v>0</x:v>
      </x:c>
      <x:c r="L143" s="5" t="n">
        <x:v>0</x:v>
      </x:c>
      <x:c r="M143" s="5" t="n">
        <x:v>0.30383503895803743</x:v>
      </x:c>
      <x:c r="N143" s="5" t="n">
        <x:v>0</x:v>
      </x:c>
      <x:c r="O143" s="5" t="n">
        <x:v>0</x:v>
      </x:c>
      <x:c r="P143" s="5" t="n">
        <x:v>0</x:v>
      </x:c>
      <x:c r="Q143" s="2" t="n">
        <x:v>180.32</x:v>
      </x:c>
    </x:row>
    <x:row r="144" ht="20" customHeight="1">
      <x:c r="A144" s="2" t="n">
        <x:v>8</x:v>
      </x:c>
      <x:c r="B144" s="2" t="str">
        <x:v>low</x:v>
      </x:c>
      <x:c r="C144" s="2" t="n">
        <x:v>21</x:v>
      </x:c>
      <x:c r="D144" s="2" t="n">
        <x:v>13</x:v>
      </x:c>
      <x:c r="E144" s="5" t="n">
        <x:v>0</x:v>
      </x:c>
      <x:c r="F144" s="5" t="n">
        <x:v>0</x:v>
      </x:c>
      <x:c r="G144" s="5" t="n">
        <x:v>0</x:v>
      </x:c>
      <x:c r="H144" s="5" t="n">
        <x:v>0</x:v>
      </x:c>
      <x:c r="I144" s="5" t="n">
        <x:v>0</x:v>
      </x:c>
      <x:c r="J144" s="5" t="n">
        <x:v>29.945117403774027</x:v>
      </x:c>
      <x:c r="K144" s="5" t="n">
        <x:v>0</x:v>
      </x:c>
      <x:c r="L144" s="5" t="n">
        <x:v>0</x:v>
      </x:c>
      <x:c r="M144" s="5" t="n">
        <x:v>0</x:v>
      </x:c>
      <x:c r="N144" s="5" t="n">
        <x:v>0</x:v>
      </x:c>
      <x:c r="O144" s="5" t="n">
        <x:v>0</x:v>
      </x:c>
      <x:c r="P144" s="5" t="n">
        <x:v>0</x:v>
      </x:c>
      <x:c r="Q144" s="2" t="n">
        <x:v>0</x:v>
      </x:c>
    </x:row>
    <x:row r="145" ht="20" customHeight="1">
      <x:c r="A145" s="2" t="n">
        <x:v>8</x:v>
      </x:c>
      <x:c r="B145" s="2" t="str">
        <x:v>low</x:v>
      </x:c>
      <x:c r="C145" s="2" t="n">
        <x:v>22</x:v>
      </x:c>
      <x:c r="D145" s="2" t="n">
        <x:v>14</x:v>
      </x:c>
      <x:c r="E145" s="5" t="n">
        <x:v>0</x:v>
      </x:c>
      <x:c r="F145" s="5" t="n">
        <x:v>0</x:v>
      </x:c>
      <x:c r="G145" s="5" t="n">
        <x:v>0</x:v>
      </x:c>
      <x:c r="H145" s="5" t="n">
        <x:v>0</x:v>
      </x:c>
      <x:c r="I145" s="5" t="n">
        <x:v>0</x:v>
      </x:c>
      <x:c r="J145" s="5" t="n">
        <x:v>20.077820442807944</x:v>
      </x:c>
      <x:c r="K145" s="5" t="n">
        <x:v>0</x:v>
      </x:c>
      <x:c r="L145" s="5" t="n">
        <x:v>0</x:v>
      </x:c>
      <x:c r="M145" s="5" t="n">
        <x:v>0</x:v>
      </x:c>
      <x:c r="N145" s="5" t="n">
        <x:v>0</x:v>
      </x:c>
      <x:c r="O145" s="5" t="n">
        <x:v>0</x:v>
      </x:c>
      <x:c r="P145" s="5" t="n">
        <x:v>0</x:v>
      </x:c>
      <x:c r="Q145" s="2" t="n">
        <x:v>0</x:v>
      </x:c>
    </x:row>
    <x:row r="146" ht="20" customHeight="1">
      <x:c r="A146" s="2" t="n">
        <x:v>8</x:v>
      </x:c>
      <x:c r="B146" s="2" t="str">
        <x:v>low</x:v>
      </x:c>
      <x:c r="C146" s="2" t="n">
        <x:v>23</x:v>
      </x:c>
      <x:c r="D146" s="2" t="n">
        <x:v>15</x:v>
      </x:c>
      <x:c r="E146" s="5" t="n">
        <x:v>0</x:v>
      </x:c>
      <x:c r="F146" s="5" t="n">
        <x:v>0</x:v>
      </x:c>
      <x:c r="G146" s="5" t="n">
        <x:v>0</x:v>
      </x:c>
      <x:c r="H146" s="5" t="n">
        <x:v>0</x:v>
      </x:c>
      <x:c r="I146" s="5" t="n">
        <x:v>0</x:v>
      </x:c>
      <x:c r="J146" s="5" t="n">
        <x:v>10.096628976166231</x:v>
      </x:c>
      <x:c r="K146" s="5" t="n">
        <x:v>0</x:v>
      </x:c>
      <x:c r="L146" s="5" t="n">
        <x:v>0</x:v>
      </x:c>
      <x:c r="M146" s="5" t="n">
        <x:v>0</x:v>
      </x:c>
      <x:c r="N146" s="5" t="n">
        <x:v>0</x:v>
      </x:c>
      <x:c r="O146" s="5" t="n">
        <x:v>0</x:v>
      </x:c>
      <x:c r="P146" s="5" t="n">
        <x:v>0</x:v>
      </x:c>
      <x:c r="Q146" s="2" t="n">
        <x:v>0</x:v>
      </x:c>
    </x:row>
    <x:row r="147" ht="20" customHeight="1">
      <x:c r="A147" s="2" t="n">
        <x:v>9</x:v>
      </x:c>
      <x:c r="B147" s="2" t="str">
        <x:v>low</x:v>
      </x:c>
      <x:c r="C147" s="2" t="n">
        <x:v>9</x:v>
      </x:c>
      <x:c r="D147" s="2" t="n">
        <x:v>0</x:v>
      </x:c>
      <x:c r="E147" s="5" t="n">
        <x:v>0</x:v>
      </x:c>
      <x:c r="F147" s="5" t="n">
        <x:v>262751.32</x:v>
      </x:c>
      <x:c r="G147" s="5" t="n">
        <x:v>0</x:v>
      </x:c>
      <x:c r="H147" s="5" t="n">
        <x:v>0</x:v>
      </x:c>
      <x:c r="I147" s="5" t="n">
        <x:v>0</x:v>
      </x:c>
      <x:c r="J147" s="5" t="n">
        <x:v>0</x:v>
      </x:c>
      <x:c r="K147" s="5" t="n">
        <x:v>262751.32</x:v>
      </x:c>
      <x:c r="L147" s="5" t="n">
        <x:v>175</x:v>
      </x:c>
      <x:c r="M147" s="5" t="n">
        <x:v>0</x:v>
      </x:c>
      <x:c r="N147" s="5" t="n">
        <x:v>175</x:v>
      </x:c>
      <x:c r="O147" s="5" t="n">
        <x:v>5255.0264</x:v>
      </x:c>
      <x:c r="P147" s="5" t="n">
        <x:v>4375</x:v>
      </x:c>
      <x:c r="Q147" s="2" t="n">
        <x:v>0</x:v>
      </x:c>
    </x:row>
    <x:row r="148" ht="20" customHeight="1">
      <x:c r="A148" s="2" t="n">
        <x:v>9</x:v>
      </x:c>
      <x:c r="B148" s="2" t="str">
        <x:v>low</x:v>
      </x:c>
      <x:c r="C148" s="2" t="n">
        <x:v>10</x:v>
      </x:c>
      <x:c r="D148" s="2" t="n">
        <x:v>1</x:v>
      </x:c>
      <x:c r="E148" s="5" t="n">
        <x:v>262751.32</x:v>
      </x:c>
      <x:c r="F148" s="5" t="n">
        <x:v>0</x:v>
      </x:c>
      <x:c r="G148" s="5" t="n">
        <x:v>20113.877933529646</x:v>
      </x:c>
      <x:c r="H148" s="5" t="n">
        <x:v>3934.640022357593</x:v>
      </x:c>
      <x:c r="I148" s="5" t="n">
        <x:v>441.9851761604823</x:v>
      </x:c>
      <x:c r="J148" s="5" t="n">
        <x:v>0</x:v>
      </x:c>
      <x:c r="K148" s="5" t="n">
        <x:v>242195.45689030987</x:v>
      </x:c>
      <x:c r="L148" s="5" t="n">
        <x:v>174.70562505327058</x:v>
      </x:c>
      <x:c r="M148" s="5" t="n">
        <x:v>0.2943749467294185</x:v>
      </x:c>
      <x:c r="N148" s="5" t="n">
        <x:v>0</x:v>
      </x:c>
      <x:c r="O148" s="5" t="n">
        <x:v>0</x:v>
      </x:c>
      <x:c r="P148" s="5" t="n">
        <x:v>0</x:v>
      </x:c>
      <x:c r="Q148" s="2" t="n">
        <x:v>174.70562505327058</x:v>
      </x:c>
    </x:row>
    <x:row r="149" ht="20" customHeight="1">
      <x:c r="A149" s="2" t="n">
        <x:v>9</x:v>
      </x:c>
      <x:c r="B149" s="2" t="str">
        <x:v>low</x:v>
      </x:c>
      <x:c r="C149" s="2" t="n">
        <x:v>11</x:v>
      </x:c>
      <x:c r="D149" s="2" t="n">
        <x:v>2</x:v>
      </x:c>
      <x:c r="E149" s="5" t="n">
        <x:v>242195.45689030987</x:v>
      </x:c>
      <x:c r="F149" s="5" t="n">
        <x:v>0</x:v>
      </x:c>
      <x:c r="G149" s="5" t="n">
        <x:v>20381.244176410404</x:v>
      </x:c>
      <x:c r="H149" s="5" t="n">
        <x:v>3626.8207440929173</x:v>
      </x:c>
      <x:c r="I149" s="5" t="n">
        <x:v>407.4072841153837</x:v>
      </x:c>
      <x:c r="J149" s="5" t="n">
        <x:v>0</x:v>
      </x:c>
      <x:c r="K149" s="5" t="n">
        <x:v>221406.8054297841</x:v>
      </x:c>
      <x:c r="L149" s="5" t="n">
        <x:v>174.41174528716553</x:v>
      </x:c>
      <x:c r="M149" s="5" t="n">
        <x:v>0.29387976610506455</x:v>
      </x:c>
      <x:c r="N149" s="5" t="n">
        <x:v>0</x:v>
      </x:c>
      <x:c r="O149" s="5" t="n">
        <x:v>0</x:v>
      </x:c>
      <x:c r="P149" s="5" t="n">
        <x:v>0</x:v>
      </x:c>
      <x:c r="Q149" s="2" t="n">
        <x:v>174.41174528716553</x:v>
      </x:c>
    </x:row>
    <x:row r="150" ht="20" customHeight="1">
      <x:c r="A150" s="2" t="n">
        <x:v>9</x:v>
      </x:c>
      <x:c r="B150" s="2" t="str">
        <x:v>low</x:v>
      </x:c>
      <x:c r="C150" s="2" t="n">
        <x:v>12</x:v>
      </x:c>
      <x:c r="D150" s="2" t="n">
        <x:v>3</x:v>
      </x:c>
      <x:c r="E150" s="5" t="n">
        <x:v>221406.8054297841</x:v>
      </x:c>
      <x:c r="F150" s="5" t="n">
        <x:v>0</x:v>
      </x:c>
      <x:c r="G150" s="5" t="n">
        <x:v>20652.164418578042</x:v>
      </x:c>
      <x:c r="H150" s="5" t="n">
        <x:v>3315.515514313568</x:v>
      </x:c>
      <x:c r="I150" s="5" t="n">
        <x:v>372.4378088795624</x:v>
      </x:c>
      <x:c r="J150" s="5" t="n">
        <x:v>0</x:v>
      </x:c>
      <x:c r="K150" s="5" t="n">
        <x:v>200382.2032023265</x:v>
      </x:c>
      <x:c r="L150" s="5" t="n">
        <x:v>174.1183598687204</x:v>
      </x:c>
      <x:c r="M150" s="5" t="n">
        <x:v>0.29338541844511007</x:v>
      </x:c>
      <x:c r="N150" s="5" t="n">
        <x:v>0</x:v>
      </x:c>
      <x:c r="O150" s="5" t="n">
        <x:v>0</x:v>
      </x:c>
      <x:c r="P150" s="5" t="n">
        <x:v>0</x:v>
      </x:c>
      <x:c r="Q150" s="2" t="n">
        <x:v>174.1183598687204</x:v>
      </x:c>
    </x:row>
    <x:row r="151" ht="20" customHeight="1">
      <x:c r="A151" s="2" t="n">
        <x:v>9</x:v>
      </x:c>
      <x:c r="B151" s="2" t="str">
        <x:v>low</x:v>
      </x:c>
      <x:c r="C151" s="2" t="n">
        <x:v>13</x:v>
      </x:c>
      <x:c r="D151" s="2" t="n">
        <x:v>4</x:v>
      </x:c>
      <x:c r="E151" s="5" t="n">
        <x:v>200382.2032023265</x:v>
      </x:c>
      <x:c r="F151" s="5" t="n">
        <x:v>0</x:v>
      </x:c>
      <x:c r="G151" s="5" t="n">
        <x:v>20926.68590201343</x:v>
      </x:c>
      <x:c r="H151" s="5" t="n">
        <x:v>3000.676976572622</x:v>
      </x:c>
      <x:c r="I151" s="5" t="n">
        <x:v>337.07143081833357</x:v>
      </x:c>
      <x:c r="J151" s="5" t="n">
        <x:v>110.49629404012057</x:v>
      </x:c>
      <x:c r="K151" s="5" t="n">
        <x:v>179118.44586949472</x:v>
      </x:c>
      <x:c r="L151" s="5" t="n">
        <x:v>173.825467966372</x:v>
      </x:c>
      <x:c r="M151" s="5" t="n">
        <x:v>0.29289190234839024</x:v>
      </x:c>
      <x:c r="N151" s="5" t="n">
        <x:v>0</x:v>
      </x:c>
      <x:c r="O151" s="5" t="n">
        <x:v>0</x:v>
      </x:c>
      <x:c r="P151" s="5" t="n">
        <x:v>0</x:v>
      </x:c>
      <x:c r="Q151" s="2" t="n">
        <x:v>173.825467966372</x:v>
      </x:c>
    </x:row>
    <x:row r="152" ht="20" customHeight="1">
      <x:c r="A152" s="2" t="n">
        <x:v>9</x:v>
      </x:c>
      <x:c r="B152" s="2" t="str">
        <x:v>low</x:v>
      </x:c>
      <x:c r="C152" s="2" t="n">
        <x:v>14</x:v>
      </x:c>
      <x:c r="D152" s="2" t="n">
        <x:v>5</x:v>
      </x:c>
      <x:c r="E152" s="5" t="n">
        <x:v>179118.44586949472</x:v>
      </x:c>
      <x:c r="F152" s="5" t="n">
        <x:v>0</x:v>
      </x:c>
      <x:c r="G152" s="5" t="n">
        <x:v>21204.856496667384</x:v>
      </x:c>
      <x:c r="H152" s="5" t="n">
        <x:v>2682.257146645756</x:v>
      </x:c>
      <x:c r="I152" s="5" t="n">
        <x:v>301.30275977764995</x:v>
      </x:c>
      <x:c r="J152" s="5" t="n">
        <x:v>101.85182102884592</x:v>
      </x:c>
      <x:c r="K152" s="5" t="n">
        <x:v>157612.28661304968</x:v>
      </x:c>
      <x:c r="L152" s="5" t="n">
        <x:v>173.53306874995593</x:v>
      </x:c>
      <x:c r="M152" s="5" t="n">
        <x:v>0.2923992164160972</x:v>
      </x:c>
      <x:c r="N152" s="5" t="n">
        <x:v>0</x:v>
      </x:c>
      <x:c r="O152" s="5" t="n">
        <x:v>0</x:v>
      </x:c>
      <x:c r="P152" s="5" t="n">
        <x:v>0</x:v>
      </x:c>
      <x:c r="Q152" s="2" t="n">
        <x:v>173.53306874995593</x:v>
      </x:c>
    </x:row>
    <x:row r="153" ht="20" customHeight="1">
      <x:c r="A153" s="2" t="n">
        <x:v>9</x:v>
      </x:c>
      <x:c r="B153" s="2" t="str">
        <x:v>low</x:v>
      </x:c>
      <x:c r="C153" s="2" t="n">
        <x:v>15</x:v>
      </x:c>
      <x:c r="D153" s="2" t="n">
        <x:v>6</x:v>
      </x:c>
      <x:c r="E153" s="5" t="n">
        <x:v>157612.28661304968</x:v>
      </x:c>
      <x:c r="F153" s="5" t="n">
        <x:v>0</x:v>
      </x:c>
      <x:c r="G153" s="5" t="n">
        <x:v>21486.724708808048</x:v>
      </x:c>
      <x:c r="H153" s="5" t="n">
        <x:v>2360.2074041835494</x:v>
      </x:c>
      <x:c r="I153" s="5" t="n">
        <x:v>265.12633414639055</x:v>
      </x:c>
      <x:c r="J153" s="5" t="n">
        <x:v>93.1094522198906</x:v>
      </x:c>
      <x:c r="K153" s="5" t="n">
        <x:v>135860.43557009526</x:v>
      </x:c>
      <x:c r="L153" s="5" t="n">
        <x:v>173.24116139070415</x:v>
      </x:c>
      <x:c r="M153" s="5" t="n">
        <x:v>0.29190735925177597</x:v>
      </x:c>
      <x:c r="N153" s="5" t="n">
        <x:v>0</x:v>
      </x:c>
      <x:c r="O153" s="5" t="n">
        <x:v>0</x:v>
      </x:c>
      <x:c r="P153" s="5" t="n">
        <x:v>0</x:v>
      </x:c>
      <x:c r="Q153" s="2" t="n">
        <x:v>173.24116139070415</x:v>
      </x:c>
    </x:row>
    <x:row r="154" ht="20" customHeight="1">
      <x:c r="A154" s="2" t="n">
        <x:v>9</x:v>
      </x:c>
      <x:c r="B154" s="2" t="str">
        <x:v>low</x:v>
      </x:c>
      <x:c r="C154" s="2" t="n">
        <x:v>16</x:v>
      </x:c>
      <x:c r="D154" s="2" t="n">
        <x:v>7</x:v>
      </x:c>
      <x:c r="E154" s="5" t="n">
        <x:v>135860.43557009526</x:v>
      </x:c>
      <x:c r="F154" s="5" t="n">
        <x:v>0</x:v>
      </x:c>
      <x:c r="G154" s="5" t="n">
        <x:v>21772.33968947921</x:v>
      </x:c>
      <x:c r="H154" s="5" t="n">
        <x:v>2034.4784842528359</x:v>
      </x:c>
      <x:c r="I154" s="5" t="n">
        <x:v>228.53661990618505</x:v>
      </x:c>
      <x:c r="J154" s="5" t="n">
        <x:v>84.26785770458339</x:v>
      </x:c>
      <x:c r="K154" s="5" t="n">
        <x:v>113859.55926070985</x:v>
      </x:c>
      <x:c r="L154" s="5" t="n">
        <x:v>172.94974506124282</x:v>
      </x:c>
      <x:c r="M154" s="5" t="n">
        <x:v>0.29141632946132073</x:v>
      </x:c>
      <x:c r="N154" s="5" t="n">
        <x:v>0</x:v>
      </x:c>
      <x:c r="O154" s="5" t="n">
        <x:v>0</x:v>
      </x:c>
      <x:c r="P154" s="5" t="n">
        <x:v>0</x:v>
      </x:c>
      <x:c r="Q154" s="2" t="n">
        <x:v>172.94974506124282</x:v>
      </x:c>
    </x:row>
    <x:row r="155" ht="20" customHeight="1">
      <x:c r="A155" s="2" t="n">
        <x:v>9</x:v>
      </x:c>
      <x:c r="B155" s="2" t="str">
        <x:v>low</x:v>
      </x:c>
      <x:c r="C155" s="2" t="n">
        <x:v>17</x:v>
      </x:c>
      <x:c r="D155" s="2" t="n">
        <x:v>8</x:v>
      </x:c>
      <x:c r="E155" s="5" t="n">
        <x:v>113859.55926070985</x:v>
      </x:c>
      <x:c r="F155" s="5" t="n">
        <x:v>0</x:v>
      </x:c>
      <x:c r="G155" s="5" t="n">
        <x:v>22061.75124307106</x:v>
      </x:c>
      <x:c r="H155" s="5" t="n">
        <x:v>1705.0204687656187</x:v>
      </x:c>
      <x:c r="I155" s="5" t="n">
        <x:v>191.52800966860877</x:v>
      </x:c>
      <x:c r="J155" s="5" t="n">
        <x:v>75.32568994441249</x:v>
      </x:c>
      <x:c r="K155" s="5" t="n">
        <x:v>91606.28000797018</x:v>
      </x:c>
      <x:c r="L155" s="5" t="n">
        <x:v>172.65881893558986</x:v>
      </x:c>
      <x:c r="M155" s="5" t="n">
        <x:v>0.29092612565297066</x:v>
      </x:c>
      <x:c r="N155" s="5" t="n">
        <x:v>0</x:v>
      </x:c>
      <x:c r="O155" s="5" t="n">
        <x:v>0</x:v>
      </x:c>
      <x:c r="P155" s="5" t="n">
        <x:v>0</x:v>
      </x:c>
      <x:c r="Q155" s="2" t="n">
        <x:v>172.65881893558986</x:v>
      </x:c>
    </x:row>
    <x:row r="156" ht="20" customHeight="1">
      <x:c r="A156" s="2" t="n">
        <x:v>9</x:v>
      </x:c>
      <x:c r="B156" s="2" t="str">
        <x:v>low</x:v>
      </x:c>
      <x:c r="C156" s="2" t="n">
        <x:v>18</x:v>
      </x:c>
      <x:c r="D156" s="2" t="n">
        <x:v>9</x:v>
      </x:c>
      <x:c r="E156" s="5" t="n">
        <x:v>91606.28000797018</x:v>
      </x:c>
      <x:c r="F156" s="5" t="n">
        <x:v>0</x:v>
      </x:c>
      <x:c r="G156" s="5" t="n">
        <x:v>22355.00983600489</x:v>
      </x:c>
      <x:c r="H156" s="5" t="n">
        <x:v>1371.782777794059</x:v>
      </x:c>
      <x:c r="I156" s="5" t="n">
        <x:v>154.09482169957954</x:v>
      </x:c>
      <x:c r="J156" s="5" t="n">
        <x:v>66.28158353659764</x:v>
      </x:c>
      <x:c r="K156" s="5" t="n">
        <x:v>69097.17535026571</x:v>
      </x:c>
      <x:c r="L156" s="5" t="n">
        <x:v>172.36838218915256</x:v>
      </x:c>
      <x:c r="M156" s="5" t="n">
        <x:v>0.29043674643730616</x:v>
      </x:c>
      <x:c r="N156" s="5" t="n">
        <x:v>0</x:v>
      </x:c>
      <x:c r="O156" s="5" t="n">
        <x:v>0</x:v>
      </x:c>
      <x:c r="P156" s="5" t="n">
        <x:v>0</x:v>
      </x:c>
      <x:c r="Q156" s="2" t="n">
        <x:v>172.36838218915256</x:v>
      </x:c>
    </x:row>
    <x:row r="157" ht="20" customHeight="1">
      <x:c r="A157" s="2" t="n">
        <x:v>9</x:v>
      </x:c>
      <x:c r="B157" s="2" t="str">
        <x:v>low</x:v>
      </x:c>
      <x:c r="C157" s="2" t="n">
        <x:v>19</x:v>
      </x:c>
      <x:c r="D157" s="2" t="n">
        <x:v>10</x:v>
      </x:c>
      <x:c r="E157" s="5" t="n">
        <x:v>69097.17535026571</x:v>
      </x:c>
      <x:c r="F157" s="5" t="n">
        <x:v>0</x:v>
      </x:c>
      <x:c r="G157" s="5" t="n">
        <x:v>22652.166605533228</x:v>
      </x:c>
      <x:c r="H157" s="5" t="n">
        <x:v>1034.714160770024</x:v>
      </x:c>
      <x:c r="I157" s="5" t="n">
        <x:v>116.2312989307872</x:v>
      </x:c>
      <x:c r="J157" s="5" t="n">
        <x:v>57.13415497654626</x:v>
      </x:c>
      <x:c r="K157" s="5" t="n">
        <x:v>46328.7774458017</x:v>
      </x:c>
      <x:c r="L157" s="5" t="n">
        <x:v>172.0784339987253</x:v>
      </x:c>
      <x:c r="M157" s="5" t="n">
        <x:v>0.28994819042724473</x:v>
      </x:c>
      <x:c r="N157" s="5" t="n">
        <x:v>0</x:v>
      </x:c>
      <x:c r="O157" s="5" t="n">
        <x:v>0</x:v>
      </x:c>
      <x:c r="P157" s="5" t="n">
        <x:v>0</x:v>
      </x:c>
      <x:c r="Q157" s="2" t="n">
        <x:v>172.0784339987253</x:v>
      </x:c>
    </x:row>
    <x:row r="158" ht="20" customHeight="1">
      <x:c r="A158" s="2" t="n">
        <x:v>9</x:v>
      </x:c>
      <x:c r="B158" s="2" t="str">
        <x:v>low</x:v>
      </x:c>
      <x:c r="C158" s="2" t="n">
        <x:v>20</x:v>
      </x:c>
      <x:c r="D158" s="2" t="n">
        <x:v>11</x:v>
      </x:c>
      <x:c r="E158" s="5" t="n">
        <x:v>46328.7774458017</x:v>
      </x:c>
      <x:c r="F158" s="5" t="n">
        <x:v>0</x:v>
      </x:c>
      <x:c r="G158" s="5" t="n">
        <x:v>22953.27336865693</x:v>
      </x:c>
      <x:c r="H158" s="5" t="n">
        <x:v>693.7626875676557</x:v>
      </x:c>
      <x:c r="I158" s="5" t="n">
        <x:v>77.93160795798264</x:v>
      </x:c>
      <x:c r="J158" s="5" t="n">
        <x:v>47.882002417152194</x:v>
      </x:c>
      <x:c r="K158" s="5" t="n">
        <x:v>23297.572469186784</x:v>
      </x:c>
      <x:c r="L158" s="5" t="n">
        <x:v>171.78897354248727</x:v>
      </x:c>
      <x:c r="M158" s="5" t="n">
        <x:v>0.2894604562380373</x:v>
      </x:c>
      <x:c r="N158" s="5" t="n">
        <x:v>0</x:v>
      </x:c>
      <x:c r="O158" s="5" t="n">
        <x:v>0</x:v>
      </x:c>
      <x:c r="P158" s="5" t="n">
        <x:v>0</x:v>
      </x:c>
      <x:c r="Q158" s="2" t="n">
        <x:v>171.78897354248727</x:v>
      </x:c>
    </x:row>
    <x:row r="159" ht="20" customHeight="1">
      <x:c r="A159" s="2" t="n">
        <x:v>9</x:v>
      </x:c>
      <x:c r="B159" s="2" t="str">
        <x:v>low</x:v>
      </x:c>
      <x:c r="C159" s="2" t="n">
        <x:v>21</x:v>
      </x:c>
      <x:c r="D159" s="2" t="n">
        <x:v>12</x:v>
      </x:c>
      <x:c r="E159" s="5" t="n">
        <x:v>23297.572469186784</x:v>
      </x:c>
      <x:c r="F159" s="5" t="n">
        <x:v>0</x:v>
      </x:c>
      <x:c r="G159" s="5" t="n">
        <x:v>23258.38263116083</x:v>
      </x:c>
      <x:c r="H159" s="5" t="n">
        <x:v>348.8757394674125</x:v>
      </x:c>
      <x:c r="I159" s="5" t="n">
        <x:v>39.189838025952156</x:v>
      </x:c>
      <x:c r="J159" s="5" t="n">
        <x:v>38.523705424894885</x:v>
      </x:c>
      <x:c r="K159" s="5" t="n">
        <x:v>0</x:v>
      </x:c>
      <x:c r="L159" s="5" t="n">
        <x:v>0</x:v>
      </x:c>
      <x:c r="M159" s="5" t="n">
        <x:v>0.28897354248726387</x:v>
      </x:c>
      <x:c r="N159" s="5" t="n">
        <x:v>0</x:v>
      </x:c>
      <x:c r="O159" s="5" t="n">
        <x:v>0</x:v>
      </x:c>
      <x:c r="P159" s="5" t="n">
        <x:v>0</x:v>
      </x:c>
      <x:c r="Q159" s="2" t="n">
        <x:v>171.5</x:v>
      </x:c>
    </x:row>
    <x:row r="160" ht="20" customHeight="1">
      <x:c r="A160" s="2" t="n">
        <x:v>9</x:v>
      </x:c>
      <x:c r="B160" s="2" t="str">
        <x:v>low</x:v>
      </x:c>
      <x:c r="C160" s="2" t="n">
        <x:v>22</x:v>
      </x:c>
      <x:c r="D160" s="2" t="n">
        <x:v>13</x:v>
      </x:c>
      <x:c r="E160" s="5" t="n">
        <x:v>0</x:v>
      </x:c>
      <x:c r="F160" s="5" t="n">
        <x:v>0</x:v>
      </x:c>
      <x:c r="G160" s="5" t="n">
        <x:v>0</x:v>
      </x:c>
      <x:c r="H160" s="5" t="n">
        <x:v>0</x:v>
      </x:c>
      <x:c r="I160" s="5" t="n">
        <x:v>0</x:v>
      </x:c>
      <x:c r="J160" s="5" t="n">
        <x:v>29.0578247326968</x:v>
      </x:c>
      <x:c r="K160" s="5" t="n">
        <x:v>0</x:v>
      </x:c>
      <x:c r="L160" s="5" t="n">
        <x:v>0</x:v>
      </x:c>
      <x:c r="M160" s="5" t="n">
        <x:v>0</x:v>
      </x:c>
      <x:c r="N160" s="5" t="n">
        <x:v>0</x:v>
      </x:c>
      <x:c r="O160" s="5" t="n">
        <x:v>0</x:v>
      </x:c>
      <x:c r="P160" s="5" t="n">
        <x:v>0</x:v>
      </x:c>
      <x:c r="Q160" s="2" t="n">
        <x:v>0</x:v>
      </x:c>
    </x:row>
    <x:row r="161" ht="20" customHeight="1">
      <x:c r="A161" s="2" t="n">
        <x:v>9</x:v>
      </x:c>
      <x:c r="B161" s="2" t="str">
        <x:v>low</x:v>
      </x:c>
      <x:c r="C161" s="2" t="n">
        <x:v>23</x:v>
      </x:c>
      <x:c r="D161" s="2" t="n">
        <x:v>14</x:v>
      </x:c>
      <x:c r="E161" s="5" t="n">
        <x:v>0</x:v>
      </x:c>
      <x:c r="F161" s="5" t="n">
        <x:v>0</x:v>
      </x:c>
      <x:c r="G161" s="5" t="n">
        <x:v>0</x:v>
      </x:c>
      <x:c r="H161" s="5" t="n">
        <x:v>0</x:v>
      </x:c>
      <x:c r="I161" s="5" t="n">
        <x:v>0</x:v>
      </x:c>
      <x:c r="J161" s="5" t="n">
        <x:v>19.48290198949566</x:v>
      </x:c>
      <x:c r="K161" s="5" t="n">
        <x:v>0</x:v>
      </x:c>
      <x:c r="L161" s="5" t="n">
        <x:v>0</x:v>
      </x:c>
      <x:c r="M161" s="5" t="n">
        <x:v>0</x:v>
      </x:c>
      <x:c r="N161" s="5" t="n">
        <x:v>0</x:v>
      </x:c>
      <x:c r="O161" s="5" t="n">
        <x:v>0</x:v>
      </x:c>
      <x:c r="P161" s="5" t="n">
        <x:v>0</x:v>
      </x:c>
      <x:c r="Q161" s="2" t="n">
        <x:v>0</x:v>
      </x:c>
    </x:row>
    <x:row r="162" ht="20" customHeight="1">
      <x:c r="A162" s="2" t="n">
        <x:v>9</x:v>
      </x:c>
      <x:c r="B162" s="2" t="str">
        <x:v>low</x:v>
      </x:c>
      <x:c r="C162" s="2" t="n">
        <x:v>24</x:v>
      </x:c>
      <x:c r="D162" s="2" t="n">
        <x:v>15</x:v>
      </x:c>
      <x:c r="E162" s="5" t="n">
        <x:v>0</x:v>
      </x:c>
      <x:c r="F162" s="5" t="n">
        <x:v>0</x:v>
      </x:c>
      <x:c r="G162" s="5" t="n">
        <x:v>0</x:v>
      </x:c>
      <x:c r="H162" s="5" t="n">
        <x:v>0</x:v>
      </x:c>
      <x:c r="I162" s="5" t="n">
        <x:v>0</x:v>
      </x:c>
      <x:c r="J162" s="5" t="n">
        <x:v>9.797459506488039</x:v>
      </x:c>
      <x:c r="K162" s="5" t="n">
        <x:v>0</x:v>
      </x:c>
      <x:c r="L162" s="5" t="n">
        <x:v>0</x:v>
      </x:c>
      <x:c r="M162" s="5" t="n">
        <x:v>0</x:v>
      </x:c>
      <x:c r="N162" s="5" t="n">
        <x:v>0</x:v>
      </x:c>
      <x:c r="O162" s="5" t="n">
        <x:v>0</x:v>
      </x:c>
      <x:c r="P162" s="5" t="n">
        <x:v>0</x:v>
      </x:c>
      <x:c r="Q162" s="2" t="n">
        <x:v>0</x:v>
      </x:c>
    </x:row>
    <x:row r="163" ht="20" customHeight="1">
      <x:c r="A163" s="2" t="n">
        <x:v>10</x:v>
      </x:c>
      <x:c r="B163" s="2" t="str">
        <x:v>low</x:v>
      </x:c>
      <x:c r="C163" s="2" t="n">
        <x:v>10</x:v>
      </x:c>
      <x:c r="D163" s="2" t="n">
        <x:v>0</x:v>
      </x:c>
      <x:c r="E163" s="5" t="n">
        <x:v>0</x:v>
      </x:c>
      <x:c r="F163" s="5" t="n">
        <x:v>287854.29</x:v>
      </x:c>
      <x:c r="G163" s="5" t="n">
        <x:v>0</x:v>
      </x:c>
      <x:c r="H163" s="5" t="n">
        <x:v>0</x:v>
      </x:c>
      <x:c r="I163" s="5" t="n">
        <x:v>0</x:v>
      </x:c>
      <x:c r="J163" s="5" t="n">
        <x:v>0</x:v>
      </x:c>
      <x:c r="K163" s="5" t="n">
        <x:v>287854.29</x:v>
      </x:c>
      <x:c r="L163" s="5" t="n">
        <x:v>201</x:v>
      </x:c>
      <x:c r="M163" s="5" t="n">
        <x:v>0</x:v>
      </x:c>
      <x:c r="N163" s="5" t="n">
        <x:v>201</x:v>
      </x:c>
      <x:c r="O163" s="5" t="n">
        <x:v>5757.0858</x:v>
      </x:c>
      <x:c r="P163" s="5" t="n">
        <x:v>5025</x:v>
      </x:c>
      <x:c r="Q163" s="2" t="n">
        <x:v>0</x:v>
      </x:c>
    </x:row>
    <x:row r="164" ht="20" customHeight="1">
      <x:c r="A164" s="2" t="n">
        <x:v>10</x:v>
      </x:c>
      <x:c r="B164" s="2" t="str">
        <x:v>low</x:v>
      </x:c>
      <x:c r="C164" s="2" t="n">
        <x:v>11</x:v>
      </x:c>
      <x:c r="D164" s="2" t="n">
        <x:v>1</x:v>
      </x:c>
      <x:c r="E164" s="5" t="n">
        <x:v>287854.29</x:v>
      </x:c>
      <x:c r="F164" s="5" t="n">
        <x:v>0</x:v>
      </x:c>
      <x:c r="G164" s="5" t="n">
        <x:v>22035.5355463213</x:v>
      </x:c>
      <x:c r="H164" s="5" t="n">
        <x:v>4310.551170747036</x:v>
      </x:c>
      <x:c r="I164" s="5" t="n">
        <x:v>484.2119501976262</x:v>
      </x:c>
      <x:c r="J164" s="5" t="n">
        <x:v>0</x:v>
      </x:c>
      <x:c r="K164" s="5" t="n">
        <x:v>265334.5425034811</x:v>
      </x:c>
      <x:c r="L164" s="5" t="n">
        <x:v>200.66188934689936</x:v>
      </x:c>
      <x:c r="M164" s="5" t="n">
        <x:v>0.3381106531006464</x:v>
      </x:c>
      <x:c r="N164" s="5" t="n">
        <x:v>0</x:v>
      </x:c>
      <x:c r="O164" s="5" t="n">
        <x:v>0</x:v>
      </x:c>
      <x:c r="P164" s="5" t="n">
        <x:v>0</x:v>
      </x:c>
      <x:c r="Q164" s="2" t="n">
        <x:v>200.66188934689936</x:v>
      </x:c>
    </x:row>
    <x:row r="165" ht="20" customHeight="1">
      <x:c r="A165" s="2" t="n">
        <x:v>10</x:v>
      </x:c>
      <x:c r="B165" s="2" t="str">
        <x:v>low</x:v>
      </x:c>
      <x:c r="C165" s="2" t="n">
        <x:v>12</x:v>
      </x:c>
      <x:c r="D165" s="2" t="n">
        <x:v>2</x:v>
      </x:c>
      <x:c r="E165" s="5" t="n">
        <x:v>265334.5425034811</x:v>
      </x:c>
      <x:c r="F165" s="5" t="n">
        <x:v>0</x:v>
      </x:c>
      <x:c r="G165" s="5" t="n">
        <x:v>22328.44566382103</x:v>
      </x:c>
      <x:c r="H165" s="5" t="n">
        <x:v>3973.3231796823643</x:v>
      </x:c>
      <x:c r="I165" s="5" t="n">
        <x:v>446.33052465678213</x:v>
      </x:c>
      <x:c r="J165" s="5" t="n">
        <x:v>0</x:v>
      </x:c>
      <x:c r="K165" s="5" t="n">
        <x:v>242559.76631500325</x:v>
      </x:c>
      <x:c r="L165" s="5" t="n">
        <x:v>200.32434744411583</x:v>
      </x:c>
      <x:c r="M165" s="5" t="n">
        <x:v>0.33754190278353124</x:v>
      </x:c>
      <x:c r="N165" s="5" t="n">
        <x:v>0</x:v>
      </x:c>
      <x:c r="O165" s="5" t="n">
        <x:v>0</x:v>
      </x:c>
      <x:c r="P165" s="5" t="n">
        <x:v>0</x:v>
      </x:c>
      <x:c r="Q165" s="2" t="n">
        <x:v>200.32434744411583</x:v>
      </x:c>
    </x:row>
    <x:row r="166" ht="20" customHeight="1">
      <x:c r="A166" s="2" t="n">
        <x:v>10</x:v>
      </x:c>
      <x:c r="B166" s="2" t="str">
        <x:v>low</x:v>
      </x:c>
      <x:c r="C166" s="2" t="n">
        <x:v>13</x:v>
      </x:c>
      <x:c r="D166" s="2" t="n">
        <x:v>3</x:v>
      </x:c>
      <x:c r="E166" s="5" t="n">
        <x:v>242559.76631500325</x:v>
      </x:c>
      <x:c r="F166" s="5" t="n">
        <x:v>0</x:v>
      </x:c>
      <x:c r="G166" s="5" t="n">
        <x:v>22625.249325761884</x:v>
      </x:c>
      <x:c r="H166" s="5" t="n">
        <x:v>3632.2761931575337</x:v>
      </x:c>
      <x:c r="I166" s="5" t="n">
        <x:v>408.0201045010245</x:v>
      </x:c>
      <x:c r="J166" s="5" t="n">
        <x:v>0</x:v>
      </x:c>
      <x:c r="K166" s="5" t="n">
        <x:v>219526.49688474037</x:v>
      </x:c>
      <x:c r="L166" s="5" t="n">
        <x:v>199.98737333493028</x:v>
      </x:c>
      <x:c r="M166" s="5" t="n">
        <x:v>0.3369741091855264</x:v>
      </x:c>
      <x:c r="N166" s="5" t="n">
        <x:v>0</x:v>
      </x:c>
      <x:c r="O166" s="5" t="n">
        <x:v>0</x:v>
      </x:c>
      <x:c r="P166" s="5" t="n">
        <x:v>0</x:v>
      </x:c>
      <x:c r="Q166" s="2" t="n">
        <x:v>199.98737333493028</x:v>
      </x:c>
    </x:row>
    <x:row r="167" ht="20" customHeight="1">
      <x:c r="A167" s="2" t="n">
        <x:v>10</x:v>
      </x:c>
      <x:c r="B167" s="2" t="str">
        <x:v>low</x:v>
      </x:c>
      <x:c r="C167" s="2" t="n">
        <x:v>14</x:v>
      </x:c>
      <x:c r="D167" s="2" t="n">
        <x:v>4</x:v>
      </x:c>
      <x:c r="E167" s="5" t="n">
        <x:v>219526.49688474037</x:v>
      </x:c>
      <x:c r="F167" s="5" t="n">
        <x:v>0</x:v>
      </x:c>
      <x:c r="G167" s="5" t="n">
        <x:v>22925.99828757125</x:v>
      </x:c>
      <x:c r="H167" s="5" t="n">
        <x:v>3287.35833034315</x:v>
      </x:c>
      <x:c r="I167" s="5" t="n">
        <x:v>369.27486186366457</x:v>
      </x:c>
      <x:c r="J167" s="5" t="n">
        <x:v>121.05298754940655</x:v>
      </x:c>
      <x:c r="K167" s="5" t="n">
        <x:v>196231.22373530545</x:v>
      </x:c>
      <x:c r="L167" s="5" t="n">
        <x:v>199.650966064233</x:v>
      </x:c>
      <x:c r="M167" s="5" t="n">
        <x:v>0.3364072706972939</x:v>
      </x:c>
      <x:c r="N167" s="5" t="n">
        <x:v>0</x:v>
      </x:c>
      <x:c r="O167" s="5" t="n">
        <x:v>0</x:v>
      </x:c>
      <x:c r="P167" s="5" t="n">
        <x:v>0</x:v>
      </x:c>
      <x:c r="Q167" s="2" t="n">
        <x:v>199.650966064233</x:v>
      </x:c>
    </x:row>
    <x:row r="168" ht="20" customHeight="1">
      <x:c r="A168" s="2" t="n">
        <x:v>10</x:v>
      </x:c>
      <x:c r="B168" s="2" t="str">
        <x:v>low</x:v>
      </x:c>
      <x:c r="C168" s="2" t="n">
        <x:v>15</x:v>
      </x:c>
      <x:c r="D168" s="2" t="n">
        <x:v>5</x:v>
      </x:c>
      <x:c r="E168" s="5" t="n">
        <x:v>196231.22373530545</x:v>
      </x:c>
      <x:c r="F168" s="5" t="n">
        <x:v>0</x:v>
      </x:c>
      <x:c r="G168" s="5" t="n">
        <x:v>23230.744992642005</x:v>
      </x:c>
      <x:c r="H168" s="5" t="n">
        <x:v>2938.517022655262</x:v>
      </x:c>
      <x:c r="I168" s="5" t="n">
        <x:v>330.0888916213094</x:v>
      </x:c>
      <x:c r="J168" s="5" t="n">
        <x:v>111.58263116419553</x:v>
      </x:c>
      <x:c r="K168" s="5" t="n">
        <x:v>172670.38985104213</x:v>
      </x:c>
      <x:c r="L168" s="5" t="n">
        <x:v>199.3151246785208</x:v>
      </x:c>
      <x:c r="M168" s="5" t="n">
        <x:v>0.33584138571220307</x:v>
      </x:c>
      <x:c r="N168" s="5" t="n">
        <x:v>0</x:v>
      </x:c>
      <x:c r="O168" s="5" t="n">
        <x:v>0</x:v>
      </x:c>
      <x:c r="P168" s="5" t="n">
        <x:v>0</x:v>
      </x:c>
      <x:c r="Q168" s="2" t="n">
        <x:v>199.3151246785208</x:v>
      </x:c>
    </x:row>
    <x:row r="169" ht="20" customHeight="1">
      <x:c r="A169" s="2" t="n">
        <x:v>10</x:v>
      </x:c>
      <x:c r="B169" s="2" t="str">
        <x:v>low</x:v>
      </x:c>
      <x:c r="C169" s="2" t="n">
        <x:v>16</x:v>
      </x:c>
      <x:c r="D169" s="2" t="n">
        <x:v>6</x:v>
      </x:c>
      <x:c r="E169" s="5" t="n">
        <x:v>172670.38985104213</x:v>
      </x:c>
      <x:c r="F169" s="5" t="n">
        <x:v>0</x:v>
      </x:c>
      <x:c r="G169" s="5" t="n">
        <x:v>23539.542581477413</x:v>
      </x:c>
      <x:c r="H169" s="5" t="n">
        <x:v>2585.699004610133</x:v>
      </x:c>
      <x:c r="I169" s="5" t="n">
        <x:v>290.4562103665626</x:v>
      </x:c>
      <x:c r="J169" s="5" t="n">
        <x:v>102.00502612525612</x:v>
      </x:c>
      <x:c r="K169" s="5" t="n">
        <x:v>148840.39105919815</x:v>
      </x:c>
      <x:c r="L169" s="5" t="n">
        <x:v>198.97984822589447</x:v>
      </x:c>
      <x:c r="M169" s="5" t="n">
        <x:v>0.33527645262632555</x:v>
      </x:c>
      <x:c r="N169" s="5" t="n">
        <x:v>0</x:v>
      </x:c>
      <x:c r="O169" s="5" t="n">
        <x:v>0</x:v>
      </x:c>
      <x:c r="P169" s="5" t="n">
        <x:v>0</x:v>
      </x:c>
      <x:c r="Q169" s="2" t="n">
        <x:v>198.97984822589447</x:v>
      </x:c>
    </x:row>
    <x:row r="170" ht="20" customHeight="1">
      <x:c r="A170" s="2" t="n">
        <x:v>10</x:v>
      </x:c>
      <x:c r="B170" s="2" t="str">
        <x:v>low</x:v>
      </x:c>
      <x:c r="C170" s="2" t="n">
        <x:v>17</x:v>
      </x:c>
      <x:c r="D170" s="2" t="n">
        <x:v>7</x:v>
      </x:c>
      <x:c r="E170" s="5" t="n">
        <x:v>148840.39105919815</x:v>
      </x:c>
      <x:c r="F170" s="5" t="n">
        <x:v>0</x:v>
      </x:c>
      <x:c r="G170" s="5" t="n">
        <x:v>23852.444900957522</x:v>
      </x:c>
      <x:c r="H170" s="5" t="n">
        <x:v>2228.850304557466</x:v>
      </x:c>
      <x:c r="I170" s="5" t="n">
        <x:v>250.37075536707016</x:v>
      </x:c>
      <x:c r="J170" s="5" t="n">
        <x:v>92.31871546591614</x:v>
      </x:c>
      <x:c r="K170" s="5" t="n">
        <x:v>124737.57540287355</x:v>
      </x:c>
      <x:c r="L170" s="5" t="n">
        <x:v>198.64513575605605</x:v>
      </x:c>
      <x:c r="M170" s="5" t="n">
        <x:v>0.3347124698384312</x:v>
      </x:c>
      <x:c r="N170" s="5" t="n">
        <x:v>0</x:v>
      </x:c>
      <x:c r="O170" s="5" t="n">
        <x:v>0</x:v>
      </x:c>
      <x:c r="P170" s="5" t="n">
        <x:v>0</x:v>
      </x:c>
      <x:c r="Q170" s="2" t="n">
        <x:v>198.64513575605605</x:v>
      </x:c>
    </x:row>
    <x:row r="171" ht="20" customHeight="1">
      <x:c r="A171" s="2" t="n">
        <x:v>10</x:v>
      </x:c>
      <x:c r="B171" s="2" t="str">
        <x:v>low</x:v>
      </x:c>
      <x:c r="C171" s="2" t="n">
        <x:v>18</x:v>
      </x:c>
      <x:c r="D171" s="2" t="n">
        <x:v>8</x:v>
      </x:c>
      <x:c r="E171" s="5" t="n">
        <x:v>124737.57540287355</x:v>
      </x:c>
      <x:c r="F171" s="5" t="n">
        <x:v>0</x:v>
      </x:c>
      <x:c r="G171" s="5" t="n">
        <x:v>24169.506513728786</x:v>
      </x:c>
      <x:c r="H171" s="5" t="n">
        <x:v>1867.9162352904425</x:v>
      </x:c>
      <x:c r="I171" s="5" t="n">
        <x:v>209.82638351072987</x:v>
      </x:c>
      <x:c r="J171" s="5" t="n">
        <x:v>82.52222290532735</x:v>
      </x:c>
      <x:c r="K171" s="5" t="n">
        <x:v>100358.24250563404</x:v>
      </x:c>
      <x:c r="L171" s="5" t="n">
        <x:v>198.31098632030606</x:v>
      </x:c>
      <x:c r="M171" s="5" t="n">
        <x:v>0.33414943574998346</x:v>
      </x:c>
      <x:c r="N171" s="5" t="n">
        <x:v>0</x:v>
      </x:c>
      <x:c r="O171" s="5" t="n">
        <x:v>0</x:v>
      </x:c>
      <x:c r="P171" s="5" t="n">
        <x:v>0</x:v>
      </x:c>
      <x:c r="Q171" s="2" t="n">
        <x:v>198.31098632030606</x:v>
      </x:c>
    </x:row>
    <x:row r="172" ht="20" customHeight="1">
      <x:c r="A172" s="2" t="n">
        <x:v>10</x:v>
      </x:c>
      <x:c r="B172" s="2" t="str">
        <x:v>low</x:v>
      </x:c>
      <x:c r="C172" s="2" t="n">
        <x:v>19</x:v>
      </x:c>
      <x:c r="D172" s="2" t="n">
        <x:v>9</x:v>
      </x:c>
      <x:c r="E172" s="5" t="n">
        <x:v>100358.24250563404</x:v>
      </x:c>
      <x:c r="F172" s="5" t="n">
        <x:v>0</x:v>
      </x:c>
      <x:c r="G172" s="5" t="n">
        <x:v>24490.782707718477</x:v>
      </x:c>
      <x:c r="H172" s="5" t="n">
        <x:v>1502.8413845309574</x:v>
      </x:c>
      <x:c r="I172" s="5" t="n">
        <x:v>168.8168702368805</x:v>
      </x:c>
      <x:c r="J172" s="5" t="n">
        <x:v>72.61405259164064</x:v>
      </x:c>
      <x:c r="K172" s="5" t="n">
        <x:v>75698.64292767868</x:v>
      </x:c>
      <x:c r="L172" s="5" t="n">
        <x:v>197.97739897154094</x:v>
      </x:c>
      <x:c r="M172" s="5" t="n">
        <x:v>0.3335873487651345</x:v>
      </x:c>
      <x:c r="N172" s="5" t="n">
        <x:v>0</x:v>
      </x:c>
      <x:c r="O172" s="5" t="n">
        <x:v>0</x:v>
      </x:c>
      <x:c r="P172" s="5" t="n">
        <x:v>0</x:v>
      </x:c>
      <x:c r="Q172" s="2" t="n">
        <x:v>197.97739897154094</x:v>
      </x:c>
    </x:row>
    <x:row r="173" ht="20" customHeight="1">
      <x:c r="A173" s="2" t="n">
        <x:v>10</x:v>
      </x:c>
      <x:c r="B173" s="2" t="str">
        <x:v>low</x:v>
      </x:c>
      <x:c r="C173" s="2" t="n">
        <x:v>20</x:v>
      </x:c>
      <x:c r="D173" s="2" t="n">
        <x:v>10</x:v>
      </x:c>
      <x:c r="E173" s="5" t="n">
        <x:v>75698.64292767868</x:v>
      </x:c>
      <x:c r="F173" s="5" t="n">
        <x:v>0</x:v>
      </x:c>
      <x:c r="G173" s="5" t="n">
        <x:v>24816.329505775568</x:v>
      </x:c>
      <x:c r="H173" s="5" t="n">
        <x:v>1133.569605288381</x:v>
      </x:c>
      <x:c r="I173" s="5" t="n">
        <x:v>127.33590845328392</x:v>
      </x:c>
      <x:c r="J173" s="5" t="n">
        <x:v>62.59268884176754</x:v>
      </x:c>
      <x:c r="K173" s="5" t="n">
        <x:v>50754.977513449834</x:v>
      </x:c>
      <x:c r="L173" s="5" t="n">
        <x:v>197.6443727642502</x:v>
      </x:c>
      <x:c r="M173" s="5" t="n">
        <x:v>0.33302620729072113</x:v>
      </x:c>
      <x:c r="N173" s="5" t="n">
        <x:v>0</x:v>
      </x:c>
      <x:c r="O173" s="5" t="n">
        <x:v>0</x:v>
      </x:c>
      <x:c r="P173" s="5" t="n">
        <x:v>0</x:v>
      </x:c>
      <x:c r="Q173" s="2" t="n">
        <x:v>197.6443727642502</x:v>
      </x:c>
    </x:row>
    <x:row r="174" ht="20" customHeight="1">
      <x:c r="A174" s="2" t="n">
        <x:v>10</x:v>
      </x:c>
      <x:c r="B174" s="2" t="str">
        <x:v>low</x:v>
      </x:c>
      <x:c r="C174" s="2" t="n">
        <x:v>21</x:v>
      </x:c>
      <x:c r="D174" s="2" t="n">
        <x:v>11</x:v>
      </x:c>
      <x:c r="E174" s="5" t="n">
        <x:v>50754.977513449834</x:v>
      </x:c>
      <x:c r="F174" s="5" t="n">
        <x:v>0</x:v>
      </x:c>
      <x:c r="G174" s="5" t="n">
        <x:v>25146.203675439763</x:v>
      </x:c>
      <x:c r="H174" s="5" t="n">
        <x:v>760.0440060901668</x:v>
      </x:c>
      <x:c r="I174" s="5" t="n">
        <x:v>85.37710743871217</x:v>
      </x:c>
      <x:c r="J174" s="5" t="n">
        <x:v>52.45659587768247</x:v>
      </x:c>
      <x:c r="K174" s="5" t="n">
        <x:v>25523.39673057136</x:v>
      </x:c>
      <x:c r="L174" s="5" t="n">
        <x:v>197.31190675451396</x:v>
      </x:c>
      <x:c r="M174" s="5" t="n">
        <x:v>0.33246600973625995</x:v>
      </x:c>
      <x:c r="N174" s="5" t="n">
        <x:v>0</x:v>
      </x:c>
      <x:c r="O174" s="5" t="n">
        <x:v>0</x:v>
      </x:c>
      <x:c r="P174" s="5" t="n">
        <x:v>0</x:v>
      </x:c>
      <x:c r="Q174" s="2" t="n">
        <x:v>197.31190675451396</x:v>
      </x:c>
    </x:row>
    <x:row r="175" ht="20" customHeight="1">
      <x:c r="A175" s="2" t="n">
        <x:v>10</x:v>
      </x:c>
      <x:c r="B175" s="2" t="str">
        <x:v>low</x:v>
      </x:c>
      <x:c r="C175" s="2" t="n">
        <x:v>22</x:v>
      </x:c>
      <x:c r="D175" s="2" t="n">
        <x:v>12</x:v>
      </x:c>
      <x:c r="E175" s="5" t="n">
        <x:v>25523.39673057136</x:v>
      </x:c>
      <x:c r="F175" s="5" t="n">
        <x:v>0</x:v>
      </x:c>
      <x:c r="G175" s="5" t="n">
        <x:v>25480.46273884041</x:v>
      </x:c>
      <x:c r="H175" s="5" t="n">
        <x:v>382.2069410826062</x:v>
      </x:c>
      <x:c r="I175" s="5" t="n">
        <x:v>42.93399173094719</x:v>
      </x:c>
      <x:c r="J175" s="5" t="n">
        <x:v>42.204217559220126</x:v>
      </x:c>
      <x:c r="K175" s="5" t="n">
        <x:v>0</x:v>
      </x:c>
      <x:c r="L175" s="5" t="n">
        <x:v>0</x:v>
      </x:c>
      <x:c r="M175" s="5" t="n">
        <x:v>0.3319067545139431</x:v>
      </x:c>
      <x:c r="N175" s="5" t="n">
        <x:v>0</x:v>
      </x:c>
      <x:c r="O175" s="5" t="n">
        <x:v>0</x:v>
      </x:c>
      <x:c r="P175" s="5" t="n">
        <x:v>0</x:v>
      </x:c>
      <x:c r="Q175" s="2" t="n">
        <x:v>196.98</x:v>
      </x:c>
    </x:row>
    <x:row r="176" ht="20" customHeight="1">
      <x:c r="A176" s="2" t="n">
        <x:v>10</x:v>
      </x:c>
      <x:c r="B176" s="2" t="str">
        <x:v>low</x:v>
      </x:c>
      <x:c r="C176" s="2" t="n">
        <x:v>23</x:v>
      </x:c>
      <x:c r="D176" s="2" t="n">
        <x:v>13</x:v>
      </x:c>
      <x:c r="E176" s="5" t="n">
        <x:v>0</x:v>
      </x:c>
      <x:c r="F176" s="5" t="n">
        <x:v>0</x:v>
      </x:c>
      <x:c r="G176" s="5" t="n">
        <x:v>0</x:v>
      </x:c>
      <x:c r="H176" s="5" t="n">
        <x:v>0</x:v>
      </x:c>
      <x:c r="I176" s="5" t="n">
        <x:v>0</x:v>
      </x:c>
      <x:c r="J176" s="5" t="n">
        <x:v>31.83397711332098</x:v>
      </x:c>
      <x:c r="K176" s="5" t="n">
        <x:v>0</x:v>
      </x:c>
      <x:c r="L176" s="5" t="n">
        <x:v>0</x:v>
      </x:c>
      <x:c r="M176" s="5" t="n">
        <x:v>0</x:v>
      </x:c>
      <x:c r="N176" s="5" t="n">
        <x:v>0</x:v>
      </x:c>
      <x:c r="O176" s="5" t="n">
        <x:v>0</x:v>
      </x:c>
      <x:c r="P176" s="5" t="n">
        <x:v>0</x:v>
      </x:c>
      <x:c r="Q176" s="2" t="n">
        <x:v>0</x:v>
      </x:c>
    </x:row>
    <x:row r="177" ht="20" customHeight="1">
      <x:c r="A177" s="2" t="n">
        <x:v>10</x:v>
      </x:c>
      <x:c r="B177" s="2" t="str">
        <x:v>low</x:v>
      </x:c>
      <x:c r="C177" s="2" t="n">
        <x:v>24</x:v>
      </x:c>
      <x:c r="D177" s="2" t="n">
        <x:v>14</x:v>
      </x:c>
      <x:c r="E177" s="5" t="n">
        <x:v>0</x:v>
      </x:c>
      <x:c r="F177" s="5" t="n">
        <x:v>0</x:v>
      </x:c>
      <x:c r="G177" s="5" t="n">
        <x:v>0</x:v>
      </x:c>
      <x:c r="H177" s="5" t="n">
        <x:v>0</x:v>
      </x:c>
      <x:c r="I177" s="5" t="n">
        <x:v>0</x:v>
      </x:c>
      <x:c r="J177" s="5" t="n">
        <x:v>21.344276859678043</x:v>
      </x:c>
      <x:c r="K177" s="5" t="n">
        <x:v>0</x:v>
      </x:c>
      <x:c r="L177" s="5" t="n">
        <x:v>0</x:v>
      </x:c>
      <x:c r="M177" s="5" t="n">
        <x:v>0</x:v>
      </x:c>
      <x:c r="N177" s="5" t="n">
        <x:v>0</x:v>
      </x:c>
      <x:c r="O177" s="5" t="n">
        <x:v>0</x:v>
      </x:c>
      <x:c r="P177" s="5" t="n">
        <x:v>0</x:v>
      </x:c>
      <x:c r="Q177" s="2" t="n">
        <x:v>0</x:v>
      </x:c>
    </x:row>
    <x:row r="178" ht="20" customHeight="1">
      <x:c r="A178" s="2" t="n">
        <x:v>10</x:v>
      </x:c>
      <x:c r="B178" s="2" t="str">
        <x:v>low</x:v>
      </x:c>
      <x:c r="C178" s="2" t="n">
        <x:v>25</x:v>
      </x:c>
      <x:c r="D178" s="2" t="n">
        <x:v>15</x:v>
      </x:c>
      <x:c r="E178" s="5" t="n">
        <x:v>0</x:v>
      </x:c>
      <x:c r="F178" s="5" t="n">
        <x:v>0</x:v>
      </x:c>
      <x:c r="G178" s="5" t="n">
        <x:v>0</x:v>
      </x:c>
      <x:c r="H178" s="5" t="n">
        <x:v>0</x:v>
      </x:c>
      <x:c r="I178" s="5" t="n">
        <x:v>0</x:v>
      </x:c>
      <x:c r="J178" s="5" t="n">
        <x:v>10.733497932736798</x:v>
      </x:c>
      <x:c r="K178" s="5" t="n">
        <x:v>0</x:v>
      </x:c>
      <x:c r="L178" s="5" t="n">
        <x:v>0</x:v>
      </x:c>
      <x:c r="M178" s="5" t="n">
        <x:v>0</x:v>
      </x:c>
      <x:c r="N178" s="5" t="n">
        <x:v>0</x:v>
      </x:c>
      <x:c r="O178" s="5" t="n">
        <x:v>0</x:v>
      </x:c>
      <x:c r="P178" s="5" t="n">
        <x:v>0</x:v>
      </x:c>
      <x:c r="Q178" s="2" t="n">
        <x:v>0</x:v>
      </x:c>
    </x:row>
    <x:row r="179" ht="20" customHeight="1">
      <x:c r="A179" s="2" t="n">
        <x:v>11</x:v>
      </x:c>
      <x:c r="B179" s="2" t="str">
        <x:v>low</x:v>
      </x:c>
      <x:c r="C179" s="2" t="n">
        <x:v>11</x:v>
      </x:c>
      <x:c r="D179" s="2" t="n">
        <x:v>0</x:v>
      </x:c>
      <x:c r="E179" s="5" t="n">
        <x:v>0</x:v>
      </x:c>
      <x:c r="F179" s="5" t="n">
        <x:v>292449.79</x:v>
      </x:c>
      <x:c r="G179" s="5" t="n">
        <x:v>0</x:v>
      </x:c>
      <x:c r="H179" s="5" t="n">
        <x:v>0</x:v>
      </x:c>
      <x:c r="I179" s="5" t="n">
        <x:v>0</x:v>
      </x:c>
      <x:c r="J179" s="5" t="n">
        <x:v>0</x:v>
      </x:c>
      <x:c r="K179" s="5" t="n">
        <x:v>292449.79</x:v>
      </x:c>
      <x:c r="L179" s="5" t="n">
        <x:v>194</x:v>
      </x:c>
      <x:c r="M179" s="5" t="n">
        <x:v>0</x:v>
      </x:c>
      <x:c r="N179" s="5" t="n">
        <x:v>194</x:v>
      </x:c>
      <x:c r="O179" s="5" t="n">
        <x:v>5848.9958</x:v>
      </x:c>
      <x:c r="P179" s="5" t="n">
        <x:v>4850</x:v>
      </x:c>
      <x:c r="Q179" s="2" t="n">
        <x:v>0</x:v>
      </x:c>
    </x:row>
    <x:row r="180" ht="20" customHeight="1">
      <x:c r="A180" s="2" t="n">
        <x:v>11</x:v>
      </x:c>
      <x:c r="B180" s="2" t="str">
        <x:v>low</x:v>
      </x:c>
      <x:c r="C180" s="2" t="n">
        <x:v>12</x:v>
      </x:c>
      <x:c r="D180" s="2" t="n">
        <x:v>1</x:v>
      </x:c>
      <x:c r="E180" s="5" t="n">
        <x:v>292449.79</x:v>
      </x:c>
      <x:c r="F180" s="5" t="n">
        <x:v>0</x:v>
      </x:c>
      <x:c r="G180" s="5" t="n">
        <x:v>22387.32569543848</x:v>
      </x:c>
      <x:c r="H180" s="5" t="n">
        <x:v>4379.367716455519</x:v>
      </x:c>
      <x:c r="I180" s="5" t="n">
        <x:v>491.94223629874074</x:v>
      </x:c>
      <x:c r="J180" s="5" t="n">
        <x:v>0</x:v>
      </x:c>
      <x:c r="K180" s="5" t="n">
        <x:v>269570.5220682628</x:v>
      </x:c>
      <x:c r="L180" s="5" t="n">
        <x:v>193.67366434476853</x:v>
      </x:c>
      <x:c r="M180" s="5" t="n">
        <x:v>0.3263356552314697</x:v>
      </x:c>
      <x:c r="N180" s="5" t="n">
        <x:v>0</x:v>
      </x:c>
      <x:c r="O180" s="5" t="n">
        <x:v>0</x:v>
      </x:c>
      <x:c r="P180" s="5" t="n">
        <x:v>0</x:v>
      </x:c>
      <x:c r="Q180" s="2" t="n">
        <x:v>193.67366434476853</x:v>
      </x:c>
    </x:row>
    <x:row r="181" ht="20" customHeight="1">
      <x:c r="A181" s="2" t="n">
        <x:v>11</x:v>
      </x:c>
      <x:c r="B181" s="2" t="str">
        <x:v>low</x:v>
      </x:c>
      <x:c r="C181" s="2" t="n">
        <x:v>13</x:v>
      </x:c>
      <x:c r="D181" s="2" t="n">
        <x:v>2</x:v>
      </x:c>
      <x:c r="E181" s="5" t="n">
        <x:v>269570.5220682628</x:v>
      </x:c>
      <x:c r="F181" s="5" t="n">
        <x:v>0</x:v>
      </x:c>
      <x:c r="G181" s="5" t="n">
        <x:v>22684.912027577808</x:v>
      </x:c>
      <x:c r="H181" s="5" t="n">
        <x:v>4036.755990331913</x:v>
      </x:c>
      <x:c r="I181" s="5" t="n">
        <x:v>453.45604613523653</x:v>
      </x:c>
      <x:c r="J181" s="5" t="n">
        <x:v>0</x:v>
      </x:c>
      <x:c r="K181" s="5" t="n">
        <x:v>246432.15399454974</x:v>
      </x:c>
      <x:c r="L181" s="5" t="n">
        <x:v>193.3478776326292</x:v>
      </x:c>
      <x:c r="M181" s="5" t="n">
        <x:v>0.3257867121393287</x:v>
      </x:c>
      <x:c r="N181" s="5" t="n">
        <x:v>0</x:v>
      </x:c>
      <x:c r="O181" s="5" t="n">
        <x:v>0</x:v>
      </x:c>
      <x:c r="P181" s="5" t="n">
        <x:v>0</x:v>
      </x:c>
      <x:c r="Q181" s="2" t="n">
        <x:v>193.3478776326292</x:v>
      </x:c>
    </x:row>
    <x:row r="182" ht="20" customHeight="1">
      <x:c r="A182" s="2" t="n">
        <x:v>11</x:v>
      </x:c>
      <x:c r="B182" s="2" t="str">
        <x:v>low</x:v>
      </x:c>
      <x:c r="C182" s="2" t="n">
        <x:v>14</x:v>
      </x:c>
      <x:c r="D182" s="2" t="n">
        <x:v>3</x:v>
      </x:c>
      <x:c r="E182" s="5" t="n">
        <x:v>246432.15399454974</x:v>
      </x:c>
      <x:c r="F182" s="5" t="n">
        <x:v>0</x:v>
      </x:c>
      <x:c r="G182" s="5" t="n">
        <x:v>22986.454063327332</x:v>
      </x:c>
      <x:c r="H182" s="5" t="n">
        <x:v>3690.2642997292837</x:v>
      </x:c>
      <x:c r="I182" s="5" t="n">
        <x:v>414.5340125974939</x:v>
      </x:c>
      <x:c r="J182" s="5" t="n">
        <x:v>0</x:v>
      </x:c>
      <x:c r="K182" s="5" t="n">
        <x:v>223031.1659186249</x:v>
      </x:c>
      <x:c r="L182" s="5" t="n">
        <x:v>193.02263894018148</x:v>
      </x:c>
      <x:c r="M182" s="5" t="n">
        <x:v>0.325238692447722</x:v>
      </x:c>
      <x:c r="N182" s="5" t="n">
        <x:v>0</x:v>
      </x:c>
      <x:c r="O182" s="5" t="n">
        <x:v>0</x:v>
      </x:c>
      <x:c r="P182" s="5" t="n">
        <x:v>0</x:v>
      </x:c>
      <x:c r="Q182" s="2" t="n">
        <x:v>193.02263894018148</x:v>
      </x:c>
    </x:row>
    <x:row r="183" ht="20" customHeight="1">
      <x:c r="A183" s="2" t="n">
        <x:v>11</x:v>
      </x:c>
      <x:c r="B183" s="2" t="str">
        <x:v>low</x:v>
      </x:c>
      <x:c r="C183" s="2" t="n">
        <x:v>15</x:v>
      </x:c>
      <x:c r="D183" s="2" t="n">
        <x:v>4</x:v>
      </x:c>
      <x:c r="E183" s="5" t="n">
        <x:v>223031.1659186249</x:v>
      </x:c>
      <x:c r="F183" s="5" t="n">
        <x:v>0</x:v>
      </x:c>
      <x:c r="G183" s="5" t="n">
        <x:v>23292.00438437298</x:v>
      </x:c>
      <x:c r="H183" s="5" t="n">
        <x:v>3339.839935557691</x:v>
      </x:c>
      <x:c r="I183" s="5" t="n">
        <x:v>375.17021477883037</x:v>
      </x:c>
      <x:c r="J183" s="5" t="n">
        <x:v>122.98555907468518</x:v>
      </x:c>
      <x:c r="K183" s="5" t="n">
        <x:v>199363.9913194731</x:v>
      </x:c>
      <x:c r="L183" s="5" t="n">
        <x:v>192.69794734557811</x:v>
      </x:c>
      <x:c r="M183" s="5" t="n">
        <x:v>0.32469159460335834</x:v>
      </x:c>
      <x:c r="N183" s="5" t="n">
        <x:v>0</x:v>
      </x:c>
      <x:c r="O183" s="5" t="n">
        <x:v>0</x:v>
      </x:c>
      <x:c r="P183" s="5" t="n">
        <x:v>0</x:v>
      </x:c>
      <x:c r="Q183" s="2" t="n">
        <x:v>192.69794734557811</x:v>
      </x:c>
    </x:row>
    <x:row r="184" ht="20" customHeight="1">
      <x:c r="A184" s="2" t="n">
        <x:v>11</x:v>
      </x:c>
      <x:c r="B184" s="2" t="str">
        <x:v>low</x:v>
      </x:c>
      <x:c r="C184" s="2" t="n">
        <x:v>16</x:v>
      </x:c>
      <x:c r="D184" s="2" t="n">
        <x:v>5</x:v>
      </x:c>
      <x:c r="E184" s="5" t="n">
        <x:v>199363.9913194731</x:v>
      </x:c>
      <x:c r="F184" s="5" t="n">
        <x:v>0</x:v>
      </x:c>
      <x:c r="G184" s="5" t="n">
        <x:v>23601.61627134932</x:v>
      </x:c>
      <x:c r="H184" s="5" t="n">
        <x:v>2985.429489992859</x:v>
      </x:c>
      <x:c r="I184" s="5" t="n">
        <x:v>335.3586532824809</x:v>
      </x:c>
      <x:c r="J184" s="5" t="n">
        <x:v>113.36401153380913</x:v>
      </x:c>
      <x:c r="K184" s="5" t="n">
        <x:v>175427.01639484128</x:v>
      </x:c>
      <x:c r="L184" s="5" t="n">
        <x:v>192.37380192852257</x:v>
      </x:c>
      <x:c r="M184" s="5" t="n">
        <x:v>0.32414541705555916</x:v>
      </x:c>
      <x:c r="N184" s="5" t="n">
        <x:v>0</x:v>
      </x:c>
      <x:c r="O184" s="5" t="n">
        <x:v>0</x:v>
      </x:c>
      <x:c r="P184" s="5" t="n">
        <x:v>0</x:v>
      </x:c>
      <x:c r="Q184" s="2" t="n">
        <x:v>192.37380192852257</x:v>
      </x:c>
    </x:row>
    <x:row r="185" ht="20" customHeight="1">
      <x:c r="A185" s="2" t="n">
        <x:v>11</x:v>
      </x:c>
      <x:c r="B185" s="2" t="str">
        <x:v>low</x:v>
      </x:c>
      <x:c r="C185" s="2" t="n">
        <x:v>17</x:v>
      </x:c>
      <x:c r="D185" s="2" t="n">
        <x:v>6</x:v>
      </x:c>
      <x:c r="E185" s="5" t="n">
        <x:v>175427.01639484128</x:v>
      </x:c>
      <x:c r="F185" s="5" t="n">
        <x:v>0</x:v>
      </x:c>
      <x:c r="G185" s="5" t="n">
        <x:v>23915.34371313044</x:v>
      </x:c>
      <x:c r="H185" s="5" t="n">
        <x:v>2626.978847184951</x:v>
      </x:c>
      <x:c r="I185" s="5" t="n">
        <x:v>295.0932491778985</x:v>
      </x:c>
      <x:c r="J185" s="5" t="n">
        <x:v>103.63350314937348</x:v>
      </x:c>
      <x:c r="K185" s="5" t="n">
        <x:v>151216.57943253295</x:v>
      </x:c>
      <x:c r="L185" s="5" t="n">
        <x:v>192.0502017702663</x:v>
      </x:c>
      <x:c r="M185" s="5" t="n">
        <x:v>0.3236001582562545</x:v>
      </x:c>
      <x:c r="N185" s="5" t="n">
        <x:v>0</x:v>
      </x:c>
      <x:c r="O185" s="5" t="n">
        <x:v>0</x:v>
      </x:c>
      <x:c r="P185" s="5" t="n">
        <x:v>0</x:v>
      </x:c>
      <x:c r="Q185" s="2" t="n">
        <x:v>192.0502017702663</x:v>
      </x:c>
    </x:row>
    <x:row r="186" ht="20" customHeight="1">
      <x:c r="A186" s="2" t="n">
        <x:v>11</x:v>
      </x:c>
      <x:c r="B186" s="2" t="str">
        <x:v>low</x:v>
      </x:c>
      <x:c r="C186" s="2" t="n">
        <x:v>18</x:v>
      </x:c>
      <x:c r="D186" s="2" t="n">
        <x:v>7</x:v>
      </x:c>
      <x:c r="E186" s="5" t="n">
        <x:v>151216.57943253295</x:v>
      </x:c>
      <x:c r="F186" s="5" t="n">
        <x:v>0</x:v>
      </x:c>
      <x:c r="G186" s="5" t="n">
        <x:v>24233.241416244302</x:v>
      </x:c>
      <x:c r="H186" s="5" t="n">
        <x:v>2264.4331738438464</x:v>
      </x:c>
      <x:c r="I186" s="5" t="n">
        <x:v>254.36784294318156</x:v>
      </x:c>
      <x:c r="J186" s="5" t="n">
        <x:v>93.79255369470759</x:v>
      </x:c>
      <x:c r="K186" s="5" t="n">
        <x:v>126728.97017334547</x:v>
      </x:c>
      <x:c r="L186" s="5" t="n">
        <x:v>191.72714595360634</x:v>
      </x:c>
      <x:c r="M186" s="5" t="n">
        <x:v>0.3230558166599784</x:v>
      </x:c>
      <x:c r="N186" s="5" t="n">
        <x:v>0</x:v>
      </x:c>
      <x:c r="O186" s="5" t="n">
        <x:v>0</x:v>
      </x:c>
      <x:c r="P186" s="5" t="n">
        <x:v>0</x:v>
      </x:c>
      <x:c r="Q186" s="2" t="n">
        <x:v>191.72714595360634</x:v>
      </x:c>
    </x:row>
    <x:row r="187" ht="20" customHeight="1">
      <x:c r="A187" s="2" t="n">
        <x:v>11</x:v>
      </x:c>
      <x:c r="B187" s="2" t="str">
        <x:v>low</x:v>
      </x:c>
      <x:c r="C187" s="2" t="n">
        <x:v>19</x:v>
      </x:c>
      <x:c r="D187" s="2" t="n">
        <x:v>8</x:v>
      </x:c>
      <x:c r="E187" s="5" t="n">
        <x:v>126728.97017334547</x:v>
      </x:c>
      <x:c r="F187" s="5" t="n">
        <x:v>0</x:v>
      </x:c>
      <x:c r="G187" s="5" t="n">
        <x:v>24555.364814412234</x:v>
      </x:c>
      <x:c r="H187" s="5" t="n">
        <x:v>1897.7369096992804</x:v>
      </x:c>
      <x:c r="I187" s="5" t="n">
        <x:v>213.17619339344367</x:v>
      </x:c>
      <x:c r="J187" s="5" t="n">
        <x:v>83.83966332062022</x:v>
      </x:c>
      <x:c r="K187" s="5" t="n">
        <x:v>101960.4291655398</x:v>
      </x:c>
      <x:c r="L187" s="5" t="n">
        <x:v>191.40463356288245</x:v>
      </x:c>
      <x:c r="M187" s="5" t="n">
        <x:v>0.3225123907238646</x:v>
      </x:c>
      <x:c r="N187" s="5" t="n">
        <x:v>0</x:v>
      </x:c>
      <x:c r="O187" s="5" t="n">
        <x:v>0</x:v>
      </x:c>
      <x:c r="P187" s="5" t="n">
        <x:v>0</x:v>
      </x:c>
      <x:c r="Q187" s="2" t="n">
        <x:v>191.40463356288245</x:v>
      </x:c>
    </x:row>
    <x:row r="188" ht="20" customHeight="1">
      <x:c r="A188" s="2" t="n">
        <x:v>11</x:v>
      </x:c>
      <x:c r="B188" s="2" t="str">
        <x:v>low</x:v>
      </x:c>
      <x:c r="C188" s="2" t="n">
        <x:v>20</x:v>
      </x:c>
      <x:c r="D188" s="2" t="n">
        <x:v>9</x:v>
      </x:c>
      <x:c r="E188" s="5" t="n">
        <x:v>101960.4291655398</x:v>
      </x:c>
      <x:c r="F188" s="5" t="n">
        <x:v>0</x:v>
      </x:c>
      <x:c r="G188" s="5" t="n">
        <x:v>24881.770078215268</x:v>
      </x:c>
      <x:c r="H188" s="5" t="n">
        <x:v>1526.8337578341727</x:v>
      </x:c>
      <x:c r="I188" s="5" t="n">
        <x:v>171.51197659493957</x:v>
      </x:c>
      <x:c r="J188" s="5" t="n">
        <x:v>73.77331229447462</x:v>
      </x:c>
      <x:c r="K188" s="5" t="n">
        <x:v>76907.14711072958</x:v>
      </x:c>
      <x:c r="L188" s="5" t="n">
        <x:v>191.08266368397483</x:v>
      </x:c>
      <x:c r="M188" s="5" t="n">
        <x:v>0.3219698789076423</x:v>
      </x:c>
      <x:c r="N188" s="5" t="n">
        <x:v>0</x:v>
      </x:c>
      <x:c r="O188" s="5" t="n">
        <x:v>0</x:v>
      </x:c>
      <x:c r="P188" s="5" t="n">
        <x:v>0</x:v>
      </x:c>
      <x:c r="Q188" s="2" t="n">
        <x:v>191.08266368397483</x:v>
      </x:c>
    </x:row>
    <x:row r="189" ht="20" customHeight="1">
      <x:c r="A189" s="2" t="n">
        <x:v>11</x:v>
      </x:c>
      <x:c r="B189" s="2" t="str">
        <x:v>low</x:v>
      </x:c>
      <x:c r="C189" s="2" t="n">
        <x:v>21</x:v>
      </x:c>
      <x:c r="D189" s="2" t="n">
        <x:v>10</x:v>
      </x:c>
      <x:c r="E189" s="5" t="n">
        <x:v>76907.14711072958</x:v>
      </x:c>
      <x:c r="F189" s="5" t="n">
        <x:v>0</x:v>
      </x:c>
      <x:c r="G189" s="5" t="n">
        <x:v>25212.51412488891</x:v>
      </x:c>
      <x:c r="H189" s="5" t="n">
        <x:v>1151.6666748894725</x:v>
      </x:c>
      <x:c r="I189" s="5" t="n">
        <x:v>129.36878476475758</x:v>
      </x:c>
      <x:c r="J189" s="5" t="n">
        <x:v>63.59196073579539</x:v>
      </x:c>
      <x:c r="K189" s="5" t="n">
        <x:v>51565.264201075915</x:v>
      </x:c>
      <x:c r="L189" s="5" t="n">
        <x:v>190.7612354043012</x:v>
      </x:c>
      <x:c r="M189" s="5" t="n">
        <x:v>0.32142827967363136</x:v>
      </x:c>
      <x:c r="N189" s="5" t="n">
        <x:v>0</x:v>
      </x:c>
      <x:c r="O189" s="5" t="n">
        <x:v>0</x:v>
      </x:c>
      <x:c r="P189" s="5" t="n">
        <x:v>0</x:v>
      </x:c>
      <x:c r="Q189" s="2" t="n">
        <x:v>190.7612354043012</x:v>
      </x:c>
    </x:row>
    <x:row r="190" ht="20" customHeight="1">
      <x:c r="A190" s="2" t="n">
        <x:v>11</x:v>
      </x:c>
      <x:c r="B190" s="2" t="str">
        <x:v>low</x:v>
      </x:c>
      <x:c r="C190" s="2" t="n">
        <x:v>22</x:v>
      </x:c>
      <x:c r="D190" s="2" t="n">
        <x:v>11</x:v>
      </x:c>
      <x:c r="E190" s="5" t="n">
        <x:v>51565.264201075915</x:v>
      </x:c>
      <x:c r="F190" s="5" t="n">
        <x:v>0</x:v>
      </x:c>
      <x:c r="G190" s="5" t="n">
        <x:v>25547.654628248154</x:v>
      </x:c>
      <x:c r="H190" s="5" t="n">
        <x:v>772.1778611388005</x:v>
      </x:c>
      <x:c r="I190" s="5" t="n">
        <x:v>86.74012515588637</x:v>
      </x:c>
      <x:c r="J190" s="5" t="n">
        <x:v>53.29404834836092</x:v>
      </x:c>
      <x:c r="K190" s="5" t="n">
        <x:v>25930.869447671877</x:v>
      </x:c>
      <x:c r="L190" s="5" t="n">
        <x:v>190.44034781281445</x:v>
      </x:c>
      <x:c r="M190" s="5" t="n">
        <x:v>0.32088759148673845</x:v>
      </x:c>
      <x:c r="N190" s="5" t="n">
        <x:v>0</x:v>
      </x:c>
      <x:c r="O190" s="5" t="n">
        <x:v>0</x:v>
      </x:c>
      <x:c r="P190" s="5" t="n">
        <x:v>0</x:v>
      </x:c>
      <x:c r="Q190" s="2" t="n">
        <x:v>190.44034781281445</x:v>
      </x:c>
    </x:row>
    <x:row r="191" ht="20" customHeight="1">
      <x:c r="A191" s="2" t="n">
        <x:v>11</x:v>
      </x:c>
      <x:c r="B191" s="2" t="str">
        <x:v>low</x:v>
      </x:c>
      <x:c r="C191" s="2" t="n">
        <x:v>23</x:v>
      </x:c>
      <x:c r="D191" s="2" t="n">
        <x:v>12</x:v>
      </x:c>
      <x:c r="E191" s="5" t="n">
        <x:v>25930.869447671877</x:v>
      </x:c>
      <x:c r="F191" s="5" t="n">
        <x:v>0</x:v>
      </x:c>
      <x:c r="G191" s="5" t="n">
        <x:v>25887.250028744416</x:v>
      </x:c>
      <x:c r="H191" s="5" t="n">
        <x:v>388.30875043116623</x:v>
      </x:c>
      <x:c r="I191" s="5" t="n">
        <x:v>43.61941892746237</x:v>
      </x:c>
      <x:c r="J191" s="5" t="n">
        <x:v>42.87799414873489</x:v>
      </x:c>
      <x:c r="K191" s="5" t="n">
        <x:v>0</x:v>
      </x:c>
      <x:c r="L191" s="5" t="n">
        <x:v>0</x:v>
      </x:c>
      <x:c r="M191" s="5" t="n">
        <x:v>0.3203478128144525</x:v>
      </x:c>
      <x:c r="N191" s="5" t="n">
        <x:v>0</x:v>
      </x:c>
      <x:c r="O191" s="5" t="n">
        <x:v>0</x:v>
      </x:c>
      <x:c r="P191" s="5" t="n">
        <x:v>0</x:v>
      </x:c>
      <x:c r="Q191" s="2" t="n">
        <x:v>190.12</x:v>
      </x:c>
    </x:row>
    <x:row r="192" ht="20" customHeight="1">
      <x:c r="A192" s="2" t="n">
        <x:v>11</x:v>
      </x:c>
      <x:c r="B192" s="2" t="str">
        <x:v>low</x:v>
      </x:c>
      <x:c r="C192" s="2" t="n">
        <x:v>24</x:v>
      </x:c>
      <x:c r="D192" s="2" t="n">
        <x:v>13</x:v>
      </x:c>
      <x:c r="E192" s="5" t="n">
        <x:v>0</x:v>
      </x:c>
      <x:c r="F192" s="5" t="n">
        <x:v>0</x:v>
      </x:c>
      <x:c r="G192" s="5" t="n">
        <x:v>0</x:v>
      </x:c>
      <x:c r="H192" s="5" t="n">
        <x:v>0</x:v>
      </x:c>
      <x:c r="I192" s="5" t="n">
        <x:v>0</x:v>
      </x:c>
      <x:c r="J192" s="5" t="n">
        <x:v>32.342196191189394</x:v>
      </x:c>
      <x:c r="K192" s="5" t="n">
        <x:v>0</x:v>
      </x:c>
      <x:c r="L192" s="5" t="n">
        <x:v>0</x:v>
      </x:c>
      <x:c r="M192" s="5" t="n">
        <x:v>0</x:v>
      </x:c>
      <x:c r="N192" s="5" t="n">
        <x:v>0</x:v>
      </x:c>
      <x:c r="O192" s="5" t="n">
        <x:v>0</x:v>
      </x:c>
      <x:c r="P192" s="5" t="n">
        <x:v>0</x:v>
      </x:c>
      <x:c r="Q192" s="2" t="n">
        <x:v>0</x:v>
      </x:c>
    </x:row>
    <x:row r="193" ht="20" customHeight="1">
      <x:c r="A193" s="2" t="n">
        <x:v>11</x:v>
      </x:c>
      <x:c r="B193" s="2" t="str">
        <x:v>low</x:v>
      </x:c>
      <x:c r="C193" s="2" t="n">
        <x:v>25</x:v>
      </x:c>
      <x:c r="D193" s="2" t="n">
        <x:v>14</x:v>
      </x:c>
      <x:c r="E193" s="5" t="n">
        <x:v>0</x:v>
      </x:c>
      <x:c r="F193" s="5" t="n">
        <x:v>0</x:v>
      </x:c>
      <x:c r="G193" s="5" t="n">
        <x:v>0</x:v>
      </x:c>
      <x:c r="H193" s="5" t="n">
        <x:v>0</x:v>
      </x:c>
      <x:c r="I193" s="5" t="n">
        <x:v>0</x:v>
      </x:c>
      <x:c r="J193" s="5" t="n">
        <x:v>21.685031288971594</x:v>
      </x:c>
      <x:c r="K193" s="5" t="n">
        <x:v>0</x:v>
      </x:c>
      <x:c r="L193" s="5" t="n">
        <x:v>0</x:v>
      </x:c>
      <x:c r="M193" s="5" t="n">
        <x:v>0</x:v>
      </x:c>
      <x:c r="N193" s="5" t="n">
        <x:v>0</x:v>
      </x:c>
      <x:c r="O193" s="5" t="n">
        <x:v>0</x:v>
      </x:c>
      <x:c r="P193" s="5" t="n">
        <x:v>0</x:v>
      </x:c>
      <x:c r="Q193" s="2" t="n">
        <x:v>0</x:v>
      </x:c>
    </x:row>
    <x:row r="194" ht="20" customHeight="1">
      <x:c r="A194" s="2" t="n">
        <x:v>11</x:v>
      </x:c>
      <x:c r="B194" s="2" t="str">
        <x:v>low</x:v>
      </x:c>
      <x:c r="C194" s="2" t="n">
        <x:v>26</x:v>
      </x:c>
      <x:c r="D194" s="2" t="n">
        <x:v>15</x:v>
      </x:c>
      <x:c r="E194" s="5" t="n">
        <x:v>0</x:v>
      </x:c>
      <x:c r="F194" s="5" t="n">
        <x:v>0</x:v>
      </x:c>
      <x:c r="G194" s="5" t="n">
        <x:v>0</x:v>
      </x:c>
      <x:c r="H194" s="5" t="n">
        <x:v>0</x:v>
      </x:c>
      <x:c r="I194" s="5" t="n">
        <x:v>0</x:v>
      </x:c>
      <x:c r="J194" s="5" t="n">
        <x:v>10.904854731865592</x:v>
      </x:c>
      <x:c r="K194" s="5" t="n">
        <x:v>0</x:v>
      </x:c>
      <x:c r="L194" s="5" t="n">
        <x:v>0</x:v>
      </x:c>
      <x:c r="M194" s="5" t="n">
        <x:v>0</x:v>
      </x:c>
      <x:c r="N194" s="5" t="n">
        <x:v>0</x:v>
      </x:c>
      <x:c r="O194" s="5" t="n">
        <x:v>0</x:v>
      </x:c>
      <x:c r="P194" s="5" t="n">
        <x:v>0</x:v>
      </x:c>
      <x:c r="Q194" s="2" t="n">
        <x:v>0</x:v>
      </x:c>
    </x:row>
    <x:row r="195" ht="20" customHeight="1">
      <x:c r="A195" s="2" t="n">
        <x:v>12</x:v>
      </x:c>
      <x:c r="B195" s="2" t="str">
        <x:v>low</x:v>
      </x:c>
      <x:c r="C195" s="2" t="n">
        <x:v>12</x:v>
      </x:c>
      <x:c r="D195" s="2" t="n">
        <x:v>0</x:v>
      </x:c>
      <x:c r="E195" s="5" t="n">
        <x:v>0</x:v>
      </x:c>
      <x:c r="F195" s="5" t="n">
        <x:v>293235.41</x:v>
      </x:c>
      <x:c r="G195" s="5" t="n">
        <x:v>0</x:v>
      </x:c>
      <x:c r="H195" s="5" t="n">
        <x:v>0</x:v>
      </x:c>
      <x:c r="I195" s="5" t="n">
        <x:v>0</x:v>
      </x:c>
      <x:c r="J195" s="5" t="n">
        <x:v>0</x:v>
      </x:c>
      <x:c r="K195" s="5" t="n">
        <x:v>293235.41</x:v>
      </x:c>
      <x:c r="L195" s="5" t="n">
        <x:v>188</x:v>
      </x:c>
      <x:c r="M195" s="5" t="n">
        <x:v>0</x:v>
      </x:c>
      <x:c r="N195" s="5" t="n">
        <x:v>188</x:v>
      </x:c>
      <x:c r="O195" s="5" t="n">
        <x:v>5864.7082</x:v>
      </x:c>
      <x:c r="P195" s="5" t="n">
        <x:v>4700</x:v>
      </x:c>
      <x:c r="Q195" s="2" t="n">
        <x:v>0</x:v>
      </x:c>
    </x:row>
    <x:row r="196" ht="20" customHeight="1">
      <x:c r="A196" s="2" t="n">
        <x:v>12</x:v>
      </x:c>
      <x:c r="B196" s="2" t="str">
        <x:v>low</x:v>
      </x:c>
      <x:c r="C196" s="2" t="n">
        <x:v>13</x:v>
      </x:c>
      <x:c r="D196" s="2" t="n">
        <x:v>1</x:v>
      </x:c>
      <x:c r="E196" s="5" t="n">
        <x:v>293235.41</x:v>
      </x:c>
      <x:c r="F196" s="5" t="n">
        <x:v>0</x:v>
      </x:c>
      <x:c r="G196" s="5" t="n">
        <x:v>22447.46569695071</x:v>
      </x:c>
      <x:c r="H196" s="5" t="n">
        <x:v>4391.132193583035</x:v>
      </x:c>
      <x:c r="I196" s="5" t="n">
        <x:v>493.263761131024</x:v>
      </x:c>
      <x:c r="J196" s="5" t="n">
        <x:v>0</x:v>
      </x:c>
      <x:c r="K196" s="5" t="n">
        <x:v>270294.68054191826</x:v>
      </x:c>
      <x:c r="L196" s="5" t="n">
        <x:v>187.68375720008495</x:v>
      </x:c>
      <x:c r="M196" s="5" t="n">
        <x:v>0.31624279991503246</x:v>
      </x:c>
      <x:c r="N196" s="5" t="n">
        <x:v>0</x:v>
      </x:c>
      <x:c r="O196" s="5" t="n">
        <x:v>0</x:v>
      </x:c>
      <x:c r="P196" s="5" t="n">
        <x:v>0</x:v>
      </x:c>
      <x:c r="Q196" s="2" t="n">
        <x:v>187.68375720008495</x:v>
      </x:c>
    </x:row>
    <x:row r="197" ht="20" customHeight="1">
      <x:c r="A197" s="2" t="n">
        <x:v>12</x:v>
      </x:c>
      <x:c r="B197" s="2" t="str">
        <x:v>low</x:v>
      </x:c>
      <x:c r="C197" s="2" t="n">
        <x:v>14</x:v>
      </x:c>
      <x:c r="D197" s="2" t="n">
        <x:v>2</x:v>
      </x:c>
      <x:c r="E197" s="5" t="n">
        <x:v>270294.68054191826</x:v>
      </x:c>
      <x:c r="F197" s="5" t="n">
        <x:v>0</x:v>
      </x:c>
      <x:c r="G197" s="5" t="n">
        <x:v>22745.85144759622</x:v>
      </x:c>
      <x:c r="H197" s="5" t="n">
        <x:v>4047.6000953699936</x:v>
      </x:c>
      <x:c r="I197" s="5" t="n">
        <x:v>454.6741839186993</x:v>
      </x:c>
      <x:c r="J197" s="5" t="n">
        <x:v>0</x:v>
      </x:c>
      <x:c r="K197" s="5" t="n">
        <x:v>247094.15491040336</x:v>
      </x:c>
      <x:c r="L197" s="5" t="n">
        <x:v>187.36804636564068</x:v>
      </x:c>
      <x:c r="M197" s="5" t="n">
        <x:v>0.31571083444429787</x:v>
      </x:c>
      <x:c r="N197" s="5" t="n">
        <x:v>0</x:v>
      </x:c>
      <x:c r="O197" s="5" t="n">
        <x:v>0</x:v>
      </x:c>
      <x:c r="P197" s="5" t="n">
        <x:v>0</x:v>
      </x:c>
      <x:c r="Q197" s="2" t="n">
        <x:v>187.36804636564068</x:v>
      </x:c>
    </x:row>
    <x:row r="198" ht="20" customHeight="1">
      <x:c r="A198" s="2" t="n">
        <x:v>12</x:v>
      </x:c>
      <x:c r="B198" s="2" t="str">
        <x:v>low</x:v>
      </x:c>
      <x:c r="C198" s="2" t="n">
        <x:v>15</x:v>
      </x:c>
      <x:c r="D198" s="2" t="n">
        <x:v>3</x:v>
      </x:c>
      <x:c r="E198" s="5" t="n">
        <x:v>247094.15491040336</x:v>
      </x:c>
      <x:c r="F198" s="5" t="n">
        <x:v>0</x:v>
      </x:c>
      <x:c r="G198" s="5" t="n">
        <x:v>23048.20352822259</x:v>
      </x:c>
      <x:c r="H198" s="5" t="n">
        <x:v>3700.17760976843</x:v>
      </x:c>
      <x:c r="I198" s="5" t="n">
        <x:v>415.64759250800387</x:v>
      </x:c>
      <x:c r="J198" s="5" t="n">
        <x:v>0</x:v>
      </x:c>
      <x:c r="K198" s="5" t="n">
        <x:v>223630.30378967276</x:v>
      </x:c>
      <x:c r="L198" s="5" t="n">
        <x:v>187.05286660182534</x:v>
      </x:c>
      <x:c r="M198" s="5" t="n">
        <x:v>0.31517976381531826</x:v>
      </x:c>
      <x:c r="N198" s="5" t="n">
        <x:v>0</x:v>
      </x:c>
      <x:c r="O198" s="5" t="n">
        <x:v>0</x:v>
      </x:c>
      <x:c r="P198" s="5" t="n">
        <x:v>0</x:v>
      </x:c>
      <x:c r="Q198" s="2" t="n">
        <x:v>187.05286660182534</x:v>
      </x:c>
    </x:row>
    <x:row r="199" ht="20" customHeight="1">
      <x:c r="A199" s="2" t="n">
        <x:v>12</x:v>
      </x:c>
      <x:c r="B199" s="2" t="str">
        <x:v>low</x:v>
      </x:c>
      <x:c r="C199" s="2" t="n">
        <x:v>16</x:v>
      </x:c>
      <x:c r="D199" s="2" t="n">
        <x:v>4</x:v>
      </x:c>
      <x:c r="E199" s="5" t="n">
        <x:v>223630.30378967276</x:v>
      </x:c>
      <x:c r="F199" s="5" t="n">
        <x:v>0</x:v>
      </x:c>
      <x:c r="G199" s="5" t="n">
        <x:v>23354.57466176812</x:v>
      </x:c>
      <x:c r="H199" s="5" t="n">
        <x:v>3348.811886093791</x:v>
      </x:c>
      <x:c r="I199" s="5" t="n">
        <x:v>376.1780500866777</x:v>
      </x:c>
      <x:c r="J199" s="5" t="n">
        <x:v>123.315940282756</x:v>
      </x:c>
      <x:c r="K199" s="5" t="n">
        <x:v>199899.55107781795</x:v>
      </x:c>
      <x:c r="L199" s="5" t="n">
        <x:v>186.7382170153025</x:v>
      </x:c>
      <x:c r="M199" s="5" t="n">
        <x:v>0.3146495865228421</x:v>
      </x:c>
      <x:c r="N199" s="5" t="n">
        <x:v>0</x:v>
      </x:c>
      <x:c r="O199" s="5" t="n">
        <x:v>0</x:v>
      </x:c>
      <x:c r="P199" s="5" t="n">
        <x:v>0</x:v>
      </x:c>
      <x:c r="Q199" s="2" t="n">
        <x:v>186.7382170153025</x:v>
      </x:c>
    </x:row>
    <x:row r="200" ht="20" customHeight="1">
      <x:c r="A200" s="2" t="n">
        <x:v>12</x:v>
      </x:c>
      <x:c r="B200" s="2" t="str">
        <x:v>low</x:v>
      </x:c>
      <x:c r="C200" s="2" t="n">
        <x:v>17</x:v>
      </x:c>
      <x:c r="D200" s="2" t="n">
        <x:v>5</x:v>
      </x:c>
      <x:c r="E200" s="5" t="n">
        <x:v>199899.55107781795</x:v>
      </x:c>
      <x:c r="F200" s="5" t="n">
        <x:v>0</x:v>
      </x:c>
      <x:c r="G200" s="5" t="n">
        <x:v>23665.018271997356</x:v>
      </x:c>
      <x:c r="H200" s="5" t="n">
        <x:v>2993.4493730501463</x:v>
      </x:c>
      <x:c r="I200" s="5" t="n">
        <x:v>336.2595411415276</x:v>
      </x:c>
      <x:c r="J200" s="5" t="n">
        <x:v>113.66854597967483</x:v>
      </x:c>
      <x:c r="K200" s="5" t="n">
        <x:v>175898.27326467907</x:v>
      </x:c>
      <x:c r="L200" s="5" t="n">
        <x:v>186.42409671423835</x:v>
      </x:c>
      <x:c r="M200" s="5" t="n">
        <x:v>0.3141203010641501</x:v>
      </x:c>
      <x:c r="N200" s="5" t="n">
        <x:v>0</x:v>
      </x:c>
      <x:c r="O200" s="5" t="n">
        <x:v>0</x:v>
      </x:c>
      <x:c r="P200" s="5" t="n">
        <x:v>0</x:v>
      </x:c>
      <x:c r="Q200" s="2" t="n">
        <x:v>186.42409671423835</x:v>
      </x:c>
    </x:row>
    <x:row r="201" ht="20" customHeight="1">
      <x:c r="A201" s="2" t="n">
        <x:v>12</x:v>
      </x:c>
      <x:c r="B201" s="2" t="str">
        <x:v>low</x:v>
      </x:c>
      <x:c r="C201" s="2" t="n">
        <x:v>18</x:v>
      </x:c>
      <x:c r="D201" s="2" t="n">
        <x:v>6</x:v>
      </x:c>
      <x:c r="E201" s="5" t="n">
        <x:v>175898.27326467907</x:v>
      </x:c>
      <x:c r="F201" s="5" t="n">
        <x:v>0</x:v>
      </x:c>
      <x:c r="G201" s="5" t="n">
        <x:v>23979.58849281693</x:v>
      </x:c>
      <x:c r="H201" s="5" t="n">
        <x:v>2634.0358094140074</x:v>
      </x:c>
      <x:c r="I201" s="5" t="n">
        <x:v>295.88597041192344</x:v>
      </x:c>
      <x:c r="J201" s="5" t="n">
        <x:v>103.91189812700097</x:v>
      </x:c>
      <x:c r="K201" s="5" t="n">
        <x:v>151622.7988014502</x:v>
      </x:c>
      <x:c r="L201" s="5" t="n">
        <x:v>186.1105048082993</x:v>
      </x:c>
      <x:c r="M201" s="5" t="n">
        <x:v>0.3135919059390508</x:v>
      </x:c>
      <x:c r="N201" s="5" t="n">
        <x:v>0</x:v>
      </x:c>
      <x:c r="O201" s="5" t="n">
        <x:v>0</x:v>
      </x:c>
      <x:c r="P201" s="5" t="n">
        <x:v>0</x:v>
      </x:c>
      <x:c r="Q201" s="2" t="n">
        <x:v>186.1105048082993</x:v>
      </x:c>
    </x:row>
    <x:row r="202" ht="20" customHeight="1">
      <x:c r="A202" s="2" t="n">
        <x:v>12</x:v>
      </x:c>
      <x:c r="B202" s="2" t="str">
        <x:v>low</x:v>
      </x:c>
      <x:c r="C202" s="2" t="n">
        <x:v>19</x:v>
      </x:c>
      <x:c r="D202" s="2" t="n">
        <x:v>7</x:v>
      </x:c>
      <x:c r="E202" s="5" t="n">
        <x:v>151622.7988014502</x:v>
      </x:c>
      <x:c r="F202" s="5" t="n">
        <x:v>0</x:v>
      </x:c>
      <x:c r="G202" s="5" t="n">
        <x:v>24298.340177715218</x:v>
      </x:c>
      <x:c r="H202" s="5" t="n">
        <x:v>2270.5162145943127</x:v>
      </x:c>
      <x:c r="I202" s="5" t="n">
        <x:v>255.05116182938428</x:v>
      </x:c>
      <x:c r="J202" s="5" t="n">
        <x:v>94.04451252166942</x:v>
      </x:c>
      <x:c r="K202" s="5" t="n">
        <x:v>127069.40746190562</x:v>
      </x:c>
      <x:c r="L202" s="5" t="n">
        <x:v>185.79744040864944</x:v>
      </x:c>
      <x:c r="M202" s="5" t="n">
        <x:v>0.313064399649876</x:v>
      </x:c>
      <x:c r="N202" s="5" t="n">
        <x:v>0</x:v>
      </x:c>
      <x:c r="O202" s="5" t="n">
        <x:v>0</x:v>
      </x:c>
      <x:c r="P202" s="5" t="n">
        <x:v>0</x:v>
      </x:c>
      <x:c r="Q202" s="2" t="n">
        <x:v>185.79744040864944</x:v>
      </x:c>
    </x:row>
    <x:row r="203" ht="20" customHeight="1">
      <x:c r="A203" s="2" t="n">
        <x:v>12</x:v>
      </x:c>
      <x:c r="B203" s="2" t="str">
        <x:v>low</x:v>
      </x:c>
      <x:c r="C203" s="2" t="n">
        <x:v>20</x:v>
      </x:c>
      <x:c r="D203" s="2" t="n">
        <x:v>8</x:v>
      </x:c>
      <x:c r="E203" s="5" t="n">
        <x:v>127069.40746190562</x:v>
      </x:c>
      <x:c r="F203" s="5" t="n">
        <x:v>0</x:v>
      </x:c>
      <x:c r="G203" s="5" t="n">
        <x:v>24621.328909327465</x:v>
      </x:c>
      <x:c r="H203" s="5" t="n">
        <x:v>1902.8348790669381</x:v>
      </x:c>
      <x:c r="I203" s="5" t="n">
        <x:v>213.74885744306997</x:v>
      </x:c>
      <x:c r="J203" s="5" t="n">
        <x:v>84.0648852853819</x:v>
      </x:c>
      <x:c r="K203" s="5" t="n">
        <x:v>102234.32969513508</x:v>
      </x:c>
      <x:c r="L203" s="5" t="n">
        <x:v>185.48490262794795</x:v>
      </x:c>
      <x:c r="M203" s="5" t="n">
        <x:v>0.3125377807014771</x:v>
      </x:c>
      <x:c r="N203" s="5" t="n">
        <x:v>0</x:v>
      </x:c>
      <x:c r="O203" s="5" t="n">
        <x:v>0</x:v>
      </x:c>
      <x:c r="P203" s="5" t="n">
        <x:v>0</x:v>
      </x:c>
      <x:c r="Q203" s="2" t="n">
        <x:v>185.48490262794795</x:v>
      </x:c>
    </x:row>
    <x:row r="204" ht="20" customHeight="1">
      <x:c r="A204" s="2" t="n">
        <x:v>12</x:v>
      </x:c>
      <x:c r="B204" s="2" t="str">
        <x:v>low</x:v>
      </x:c>
      <x:c r="C204" s="2" t="n">
        <x:v>21</x:v>
      </x:c>
      <x:c r="D204" s="2" t="n">
        <x:v>9</x:v>
      </x:c>
      <x:c r="E204" s="5" t="n">
        <x:v>102234.32969513508</x:v>
      </x:c>
      <x:c r="F204" s="5" t="n">
        <x:v>0</x:v>
      </x:c>
      <x:c r="G204" s="5" t="n">
        <x:v>24948.61100912805</x:v>
      </x:c>
      <x:c r="H204" s="5" t="n">
        <x:v>1530.9353546820614</x:v>
      </x:c>
      <x:c r="I204" s="5" t="n">
        <x:v>171.97271633098973</x:v>
      </x:c>
      <x:c r="J204" s="5" t="n">
        <x:v>73.97149260298086</x:v>
      </x:c>
      <x:c r="K204" s="5" t="n">
        <x:v>77113.74596967605</x:v>
      </x:c>
      <x:c r="L204" s="5" t="n">
        <x:v>185.17289058034675</x:v>
      </x:c>
      <x:c r="M204" s="5" t="n">
        <x:v>0.31201204760122037</x:v>
      </x:c>
      <x:c r="N204" s="5" t="n">
        <x:v>0</x:v>
      </x:c>
      <x:c r="O204" s="5" t="n">
        <x:v>0</x:v>
      </x:c>
      <x:c r="P204" s="5" t="n">
        <x:v>0</x:v>
      </x:c>
      <x:c r="Q204" s="2" t="n">
        <x:v>185.17289058034675</x:v>
      </x:c>
    </x:row>
    <x:row r="205" ht="20" customHeight="1">
      <x:c r="A205" s="2" t="n">
        <x:v>12</x:v>
      </x:c>
      <x:c r="B205" s="2" t="str">
        <x:v>low</x:v>
      </x:c>
      <x:c r="C205" s="2" t="n">
        <x:v>22</x:v>
      </x:c>
      <x:c r="D205" s="2" t="n">
        <x:v>10</x:v>
      </x:c>
      <x:c r="E205" s="5" t="n">
        <x:v>77113.74596967605</x:v>
      </x:c>
      <x:c r="F205" s="5" t="n">
        <x:v>0</x:v>
      </x:c>
      <x:c r="G205" s="5" t="n">
        <x:v>25280.243547251615</x:v>
      </x:c>
      <x:c r="H205" s="5" t="n">
        <x:v>1154.7604448426896</x:v>
      </x:c>
      <x:c r="I205" s="5" t="n">
        <x:v>129.71631349673885</x:v>
      </x:c>
      <x:c r="J205" s="5" t="n">
        <x:v>63.76279045734607</x:v>
      </x:c>
      <x:c r="K205" s="5" t="n">
        <x:v>51703.786108927685</x:v>
      </x:c>
      <x:c r="L205" s="5" t="n">
        <x:v>184.86140338148775</x:v>
      </x:c>
      <x:c r="M205" s="5" t="n">
        <x:v>0.31148719885898296</x:v>
      </x:c>
      <x:c r="N205" s="5" t="n">
        <x:v>0</x:v>
      </x:c>
      <x:c r="O205" s="5" t="n">
        <x:v>0</x:v>
      </x:c>
      <x:c r="P205" s="5" t="n">
        <x:v>0</x:v>
      </x:c>
      <x:c r="Q205" s="2" t="n">
        <x:v>184.86140338148775</x:v>
      </x:c>
    </x:row>
    <x:row r="206" ht="20" customHeight="1">
      <x:c r="A206" s="2" t="n">
        <x:v>12</x:v>
      </x:c>
      <x:c r="B206" s="2" t="str">
        <x:v>low</x:v>
      </x:c>
      <x:c r="C206" s="2" t="n">
        <x:v>23</x:v>
      </x:c>
      <x:c r="D206" s="2" t="n">
        <x:v>11</x:v>
      </x:c>
      <x:c r="E206" s="5" t="n">
        <x:v>51703.786108927685</x:v>
      </x:c>
      <x:c r="F206" s="5" t="n">
        <x:v>0</x:v>
      </x:c>
      <x:c r="G206" s="5" t="n">
        <x:v>25616.284352444723</x:v>
      </x:c>
      <x:c r="H206" s="5" t="n">
        <x:v>774.2521945526418</x:v>
      </x:c>
      <x:c r="I206" s="5" t="n">
        <x:v>86.9731387515705</x:v>
      </x:c>
      <x:c r="J206" s="5" t="n">
        <x:v>53.43721436076749</x:v>
      </x:c>
      <x:c r="K206" s="5" t="n">
        <x:v>26000.528617731394</x:v>
      </x:c>
      <x:c r="L206" s="5" t="n">
        <x:v>184.5504401485006</x:v>
      </x:c>
      <x:c r="M206" s="5" t="n">
        <x:v>0.3109632329871486</x:v>
      </x:c>
      <x:c r="N206" s="5" t="n">
        <x:v>0</x:v>
      </x:c>
      <x:c r="O206" s="5" t="n">
        <x:v>0</x:v>
      </x:c>
      <x:c r="P206" s="5" t="n">
        <x:v>0</x:v>
      </x:c>
      <x:c r="Q206" s="2" t="n">
        <x:v>184.5504401485006</x:v>
      </x:c>
    </x:row>
    <x:row r="207" ht="20" customHeight="1">
      <x:c r="A207" s="2" t="n">
        <x:v>12</x:v>
      </x:c>
      <x:c r="B207" s="2" t="str">
        <x:v>low</x:v>
      </x:c>
      <x:c r="C207" s="2" t="n">
        <x:v>24</x:v>
      </x:c>
      <x:c r="D207" s="2" t="n">
        <x:v>12</x:v>
      </x:c>
      <x:c r="E207" s="5" t="n">
        <x:v>26000.528617731394</x:v>
      </x:c>
      <x:c r="F207" s="5" t="n">
        <x:v>0</x:v>
      </x:c>
      <x:c r="G207" s="5" t="n">
        <x:v>25956.792022149784</x:v>
      </x:c>
      <x:c r="H207" s="5" t="n">
        <x:v>389.35188033224676</x:v>
      </x:c>
      <x:c r="I207" s="5" t="n">
        <x:v>43.73659558160801</x:v>
      </x:c>
      <x:c r="J207" s="5" t="n">
        <x:v>42.99317908274743</x:v>
      </x:c>
      <x:c r="K207" s="5" t="n">
        <x:v>0</x:v>
      </x:c>
      <x:c r="L207" s="5" t="n">
        <x:v>0</x:v>
      </x:c>
      <x:c r="M207" s="5" t="n">
        <x:v>0.3104401485006035</x:v>
      </x:c>
      <x:c r="N207" s="5" t="n">
        <x:v>0</x:v>
      </x:c>
      <x:c r="O207" s="5" t="n">
        <x:v>0</x:v>
      </x:c>
      <x:c r="P207" s="5" t="n">
        <x:v>0</x:v>
      </x:c>
      <x:c r="Q207" s="2" t="n">
        <x:v>184.24</x:v>
      </x:c>
    </x:row>
    <x:row r="208" ht="20" customHeight="1">
      <x:c r="A208" s="2" t="n">
        <x:v>12</x:v>
      </x:c>
      <x:c r="B208" s="2" t="str">
        <x:v>low</x:v>
      </x:c>
      <x:c r="C208" s="2" t="n">
        <x:v>25</x:v>
      </x:c>
      <x:c r="D208" s="2" t="n">
        <x:v>13</x:v>
      </x:c>
      <x:c r="E208" s="5" t="n">
        <x:v>0</x:v>
      </x:c>
      <x:c r="F208" s="5" t="n">
        <x:v>0</x:v>
      </x:c>
      <x:c r="G208" s="5" t="n">
        <x:v>0</x:v>
      </x:c>
      <x:c r="H208" s="5" t="n">
        <x:v>0</x:v>
      </x:c>
      <x:c r="I208" s="5" t="n">
        <x:v>0</x:v>
      </x:c>
      <x:c r="J208" s="5" t="n">
        <x:v>32.42907837418471</x:v>
      </x:c>
      <x:c r="K208" s="5" t="n">
        <x:v>0</x:v>
      </x:c>
      <x:c r="L208" s="5" t="n">
        <x:v>0</x:v>
      </x:c>
      <x:c r="M208" s="5" t="n">
        <x:v>0</x:v>
      </x:c>
      <x:c r="N208" s="5" t="n">
        <x:v>0</x:v>
      </x:c>
      <x:c r="O208" s="5" t="n">
        <x:v>0</x:v>
      </x:c>
      <x:c r="P208" s="5" t="n">
        <x:v>0</x:v>
      </x:c>
      <x:c r="Q208" s="2" t="n">
        <x:v>0</x:v>
      </x:c>
    </x:row>
    <x:row r="209" ht="20" customHeight="1">
      <x:c r="A209" s="2" t="n">
        <x:v>12</x:v>
      </x:c>
      <x:c r="B209" s="2" t="str">
        <x:v>low</x:v>
      </x:c>
      <x:c r="C209" s="2" t="n">
        <x:v>26</x:v>
      </x:c>
      <x:c r="D209" s="2" t="n">
        <x:v>14</x:v>
      </x:c>
      <x:c r="E209" s="5" t="n">
        <x:v>0</x:v>
      </x:c>
      <x:c r="F209" s="5" t="n">
        <x:v>0</x:v>
      </x:c>
      <x:c r="G209" s="5" t="n">
        <x:v>0</x:v>
      </x:c>
      <x:c r="H209" s="5" t="n">
        <x:v>0</x:v>
      </x:c>
      <x:c r="I209" s="5" t="n">
        <x:v>0</x:v>
      </x:c>
      <x:c r="J209" s="5" t="n">
        <x:v>21.743284687892626</x:v>
      </x:c>
      <x:c r="K209" s="5" t="n">
        <x:v>0</x:v>
      </x:c>
      <x:c r="L209" s="5" t="n">
        <x:v>0</x:v>
      </x:c>
      <x:c r="M209" s="5" t="n">
        <x:v>0</x:v>
      </x:c>
      <x:c r="N209" s="5" t="n">
        <x:v>0</x:v>
      </x:c>
      <x:c r="O209" s="5" t="n">
        <x:v>0</x:v>
      </x:c>
      <x:c r="P209" s="5" t="n">
        <x:v>0</x:v>
      </x:c>
      <x:c r="Q209" s="2" t="n">
        <x:v>0</x:v>
      </x:c>
    </x:row>
    <x:row r="210" ht="20" customHeight="1">
      <x:c r="A210" s="2" t="n">
        <x:v>12</x:v>
      </x:c>
      <x:c r="B210" s="2" t="str">
        <x:v>low</x:v>
      </x:c>
      <x:c r="C210" s="2" t="n">
        <x:v>27</x:v>
      </x:c>
      <x:c r="D210" s="2" t="n">
        <x:v>15</x:v>
      </x:c>
      <x:c r="E210" s="5" t="n">
        <x:v>0</x:v>
      </x:c>
      <x:c r="F210" s="5" t="n">
        <x:v>0</x:v>
      </x:c>
      <x:c r="G210" s="5" t="n">
        <x:v>0</x:v>
      </x:c>
      <x:c r="H210" s="5" t="n">
        <x:v>0</x:v>
      </x:c>
      <x:c r="I210" s="5" t="n">
        <x:v>0</x:v>
      </x:c>
      <x:c r="J210" s="5" t="n">
        <x:v>10.934148895402002</x:v>
      </x:c>
      <x:c r="K210" s="5" t="n">
        <x:v>0</x:v>
      </x:c>
      <x:c r="L210" s="5" t="n">
        <x:v>0</x:v>
      </x:c>
      <x:c r="M210" s="5" t="n">
        <x:v>0</x:v>
      </x:c>
      <x:c r="N210" s="5" t="n">
        <x:v>0</x:v>
      </x:c>
      <x:c r="O210" s="5" t="n">
        <x:v>0</x:v>
      </x:c>
      <x:c r="P210" s="5" t="n">
        <x:v>0</x:v>
      </x:c>
      <x:c r="Q210" s="2" t="n">
        <x:v>0</x:v>
      </x:c>
    </x:row>
    <x:row r="211" ht="20" customHeight="1">
      <x:c r="A211" s="2" t="n">
        <x:v>13</x:v>
      </x:c>
      <x:c r="B211" s="2" t="str">
        <x:v>low</x:v>
      </x:c>
      <x:c r="C211" s="2" t="n">
        <x:v>13</x:v>
      </x:c>
      <x:c r="D211" s="2" t="n">
        <x:v>0</x:v>
      </x:c>
      <x:c r="E211" s="5" t="n">
        <x:v>0</x:v>
      </x:c>
      <x:c r="F211" s="5" t="n">
        <x:v>276300.9</x:v>
      </x:c>
      <x:c r="G211" s="5" t="n">
        <x:v>0</x:v>
      </x:c>
      <x:c r="H211" s="5" t="n">
        <x:v>0</x:v>
      </x:c>
      <x:c r="I211" s="5" t="n">
        <x:v>0</x:v>
      </x:c>
      <x:c r="J211" s="5" t="n">
        <x:v>0</x:v>
      </x:c>
      <x:c r="K211" s="5" t="n">
        <x:v>276300.9</x:v>
      </x:c>
      <x:c r="L211" s="5" t="n">
        <x:v>185</x:v>
      </x:c>
      <x:c r="M211" s="5" t="n">
        <x:v>0</x:v>
      </x:c>
      <x:c r="N211" s="5" t="n">
        <x:v>185</x:v>
      </x:c>
      <x:c r="O211" s="5" t="n">
        <x:v>5526.018</x:v>
      </x:c>
      <x:c r="P211" s="5" t="n">
        <x:v>4625</x:v>
      </x:c>
      <x:c r="Q211" s="2" t="n">
        <x:v>0</x:v>
      </x:c>
    </x:row>
    <x:row r="212" ht="20" customHeight="1">
      <x:c r="A212" s="2" t="n">
        <x:v>13</x:v>
      </x:c>
      <x:c r="B212" s="2" t="str">
        <x:v>low</x:v>
      </x:c>
      <x:c r="C212" s="2" t="n">
        <x:v>14</x:v>
      </x:c>
      <x:c r="D212" s="2" t="n">
        <x:v>1</x:v>
      </x:c>
      <x:c r="E212" s="5" t="n">
        <x:v>276300.9</x:v>
      </x:c>
      <x:c r="F212" s="5" t="n">
        <x:v>0</x:v>
      </x:c>
      <x:c r="G212" s="5" t="n">
        <x:v>21151.11191648583</x:v>
      </x:c>
      <x:c r="H212" s="5" t="n">
        <x:v>4137.541837481246</x:v>
      </x:c>
      <x:c r="I212" s="5" t="n">
        <x:v>464.77750125023084</x:v>
      </x:c>
      <x:c r="J212" s="5" t="n">
        <x:v>0</x:v>
      </x:c>
      <x:c r="K212" s="5" t="n">
        <x:v>254685.01058226393</x:v>
      </x:c>
      <x:c r="L212" s="5" t="n">
        <x:v>184.6888036277432</x:v>
      </x:c>
      <x:c r="M212" s="5" t="n">
        <x:v>0.31119637225681385</x:v>
      </x:c>
      <x:c r="N212" s="5" t="n">
        <x:v>0</x:v>
      </x:c>
      <x:c r="O212" s="5" t="n">
        <x:v>0</x:v>
      </x:c>
      <x:c r="P212" s="5" t="n">
        <x:v>0</x:v>
      </x:c>
      <x:c r="Q212" s="2" t="n">
        <x:v>184.6888036277432</x:v>
      </x:c>
    </x:row>
    <x:row r="213" ht="20" customHeight="1">
      <x:c r="A213" s="2" t="n">
        <x:v>13</x:v>
      </x:c>
      <x:c r="B213" s="2" t="str">
        <x:v>low</x:v>
      </x:c>
      <x:c r="C213" s="2" t="n">
        <x:v>15</x:v>
      </x:c>
      <x:c r="D213" s="2" t="n">
        <x:v>2</x:v>
      </x:c>
      <x:c r="E213" s="5" t="n">
        <x:v>254685.01058226393</x:v>
      </x:c>
      <x:c r="F213" s="5" t="n">
        <x:v>0</x:v>
      </x:c>
      <x:c r="G213" s="5" t="n">
        <x:v>21432.265722059754</x:v>
      </x:c>
      <x:c r="H213" s="5" t="n">
        <x:v>3813.848911326279</x:v>
      </x:c>
      <x:c r="I213" s="5" t="n">
        <x:v>428.4164938453448</x:v>
      </x:c>
      <x:c r="J213" s="5" t="n">
        <x:v>0</x:v>
      </x:c>
      <x:c r="K213" s="5" t="n">
        <x:v>232824.32836635885</x:v>
      </x:c>
      <x:c r="L213" s="5" t="n">
        <x:v>184.37813073214642</x:v>
      </x:c>
      <x:c r="M213" s="5" t="n">
        <x:v>0.3106728955967825</x:v>
      </x:c>
      <x:c r="N213" s="5" t="n">
        <x:v>0</x:v>
      </x:c>
      <x:c r="O213" s="5" t="n">
        <x:v>0</x:v>
      </x:c>
      <x:c r="P213" s="5" t="n">
        <x:v>0</x:v>
      </x:c>
      <x:c r="Q213" s="2" t="n">
        <x:v>184.37813073214642</x:v>
      </x:c>
    </x:row>
    <x:row r="214" ht="20" customHeight="1">
      <x:c r="A214" s="2" t="n">
        <x:v>13</x:v>
      </x:c>
      <x:c r="B214" s="2" t="str">
        <x:v>low</x:v>
      </x:c>
      <x:c r="C214" s="2" t="n">
        <x:v>16</x:v>
      </x:c>
      <x:c r="D214" s="2" t="n">
        <x:v>3</x:v>
      </x:c>
      <x:c r="E214" s="5" t="n">
        <x:v>232824.32836635885</x:v>
      </x:c>
      <x:c r="F214" s="5" t="n">
        <x:v>0</x:v>
      </x:c>
      <x:c r="G214" s="5" t="n">
        <x:v>21717.15679982536</x:v>
      </x:c>
      <x:c r="H214" s="5" t="n">
        <x:v>3486.4902698445117</x:v>
      </x:c>
      <x:c r="I214" s="5" t="n">
        <x:v>391.64371005805447</x:v>
      </x:c>
      <x:c r="J214" s="5" t="n">
        <x:v>0</x:v>
      </x:c>
      <x:c r="K214" s="5" t="n">
        <x:v>210715.5278564754</x:v>
      </x:c>
      <x:c r="L214" s="5" t="n">
        <x:v>184.0679804326473</x:v>
      </x:c>
      <x:c r="M214" s="5" t="n">
        <x:v>0.3101502994991164</x:v>
      </x:c>
      <x:c r="N214" s="5" t="n">
        <x:v>0</x:v>
      </x:c>
      <x:c r="O214" s="5" t="n">
        <x:v>0</x:v>
      </x:c>
      <x:c r="P214" s="5" t="n">
        <x:v>0</x:v>
      </x:c>
      <x:c r="Q214" s="2" t="n">
        <x:v>184.0679804326473</x:v>
      </x:c>
    </x:row>
    <x:row r="215" ht="20" customHeight="1">
      <x:c r="A215" s="2" t="n">
        <x:v>13</x:v>
      </x:c>
      <x:c r="B215" s="2" t="str">
        <x:v>low</x:v>
      </x:c>
      <x:c r="C215" s="2" t="n">
        <x:v>17</x:v>
      </x:c>
      <x:c r="D215" s="2" t="n">
        <x:v>4</x:v>
      </x:c>
      <x:c r="E215" s="5" t="n">
        <x:v>210715.5278564754</x:v>
      </x:c>
      <x:c r="F215" s="5" t="n">
        <x:v>0</x:v>
      </x:c>
      <x:c r="G215" s="5" t="n">
        <x:v>22005.834827941577</x:v>
      </x:c>
      <x:c r="H215" s="5" t="n">
        <x:v>3155.416114508176</x:v>
      </x:c>
      <x:c r="I215" s="5" t="n">
        <x:v>354.45355593035003</x:v>
      </x:c>
      <x:c r="J215" s="5" t="n">
        <x:v>116.19437531255771</x:v>
      </x:c>
      <x:c r="K215" s="5" t="n">
        <x:v>188355.2394726035</x:v>
      </x:c>
      <x:c r="L215" s="5" t="n">
        <x:v>183.7583518501647</x:v>
      </x:c>
      <x:c r="M215" s="5" t="n">
        <x:v>0.30962858248258396</x:v>
      </x:c>
      <x:c r="N215" s="5" t="n">
        <x:v>0</x:v>
      </x:c>
      <x:c r="O215" s="5" t="n">
        <x:v>0</x:v>
      </x:c>
      <x:c r="P215" s="5" t="n">
        <x:v>0</x:v>
      </x:c>
      <x:c r="Q215" s="2" t="n">
        <x:v>183.7583518501647</x:v>
      </x:c>
    </x:row>
    <x:row r="216" ht="20" customHeight="1">
      <x:c r="A216" s="2" t="n">
        <x:v>13</x:v>
      </x:c>
      <x:c r="B216" s="2" t="str">
        <x:v>low</x:v>
      </x:c>
      <x:c r="C216" s="2" t="n">
        <x:v>18</x:v>
      </x:c>
      <x:c r="D216" s="2" t="n">
        <x:v>5</x:v>
      </x:c>
      <x:c r="E216" s="5" t="n">
        <x:v>188355.2394726035</x:v>
      </x:c>
      <x:c r="F216" s="5" t="n">
        <x:v>0</x:v>
      </x:c>
      <x:c r="G216" s="5" t="n">
        <x:v>22298.35014492047</x:v>
      </x:c>
      <x:c r="H216" s="5" t="n">
        <x:v>2820.575986638828</x:v>
      </x:c>
      <x:c r="I216" s="5" t="n">
        <x:v>316.84036334831154</x:v>
      </x:c>
      <x:c r="J216" s="5" t="n">
        <x:v>107.1041234613362</x:v>
      </x:c>
      <x:c r="K216" s="5" t="n">
        <x:v>165740.0489643347</x:v>
      </x:c>
      <x:c r="L216" s="5" t="n">
        <x:v>183.44924410709626</x:v>
      </x:c>
      <x:c r="M216" s="5" t="n">
        <x:v>0.3091077430684456</x:v>
      </x:c>
      <x:c r="N216" s="5" t="n">
        <x:v>0</x:v>
      </x:c>
      <x:c r="O216" s="5" t="n">
        <x:v>0</x:v>
      </x:c>
      <x:c r="P216" s="5" t="n">
        <x:v>0</x:v>
      </x:c>
      <x:c r="Q216" s="2" t="n">
        <x:v>183.44924410709626</x:v>
      </x:c>
    </x:row>
    <x:row r="217" ht="20" customHeight="1">
      <x:c r="A217" s="2" t="n">
        <x:v>13</x:v>
      </x:c>
      <x:c r="B217" s="2" t="str">
        <x:v>low</x:v>
      </x:c>
      <x:c r="C217" s="2" t="n">
        <x:v>19</x:v>
      </x:c>
      <x:c r="D217" s="2" t="n">
        <x:v>6</x:v>
      </x:c>
      <x:c r="E217" s="5" t="n">
        <x:v>165740.0489643347</x:v>
      </x:c>
      <x:c r="F217" s="5" t="n">
        <x:v>0</x:v>
      </x:c>
      <x:c r="G217" s="5" t="n">
        <x:v>22594.753758405102</x:v>
      </x:c>
      <x:c r="H217" s="5" t="n">
        <x:v>2481.91875862918</x:v>
      </x:c>
      <x:c r="I217" s="5" t="n">
        <x:v>278.7983890560414</x:v>
      </x:c>
      <x:c r="J217" s="5" t="n">
        <x:v>97.91092751451362</x:v>
      </x:c>
      <x:c r="K217" s="5" t="n">
        <x:v>142866.49681687358</x:v>
      </x:c>
      <x:c r="L217" s="5" t="n">
        <x:v>183.1406563273158</x:v>
      </x:c>
      <x:c r="M217" s="5" t="n">
        <x:v>0.3085877797804489</x:v>
      </x:c>
      <x:c r="N217" s="5" t="n">
        <x:v>0</x:v>
      </x:c>
      <x:c r="O217" s="5" t="n">
        <x:v>0</x:v>
      </x:c>
      <x:c r="P217" s="5" t="n">
        <x:v>0</x:v>
      </x:c>
      <x:c r="Q217" s="2" t="n">
        <x:v>183.1406563273158</x:v>
      </x:c>
    </x:row>
    <x:row r="218" ht="20" customHeight="1">
      <x:c r="A218" s="2" t="n">
        <x:v>13</x:v>
      </x:c>
      <x:c r="B218" s="2" t="str">
        <x:v>low</x:v>
      </x:c>
      <x:c r="C218" s="2" t="n">
        <x:v>20</x:v>
      </x:c>
      <x:c r="D218" s="2" t="n">
        <x:v>7</x:v>
      </x:c>
      <x:c r="E218" s="5" t="n">
        <x:v>142866.49681687358</x:v>
      </x:c>
      <x:c r="F218" s="5" t="n">
        <x:v>0</x:v>
      </x:c>
      <x:c r="G218" s="5" t="n">
        <x:v>22895.097354064008</x:v>
      </x:c>
      <x:c r="H218" s="5" t="n">
        <x:v>2139.3926250482564</x:v>
      </x:c>
      <x:c r="I218" s="5" t="n">
        <x:v>240.32181365649026</x:v>
      </x:c>
      <x:c r="J218" s="5" t="n">
        <x:v>88.61338898258751</x:v>
      </x:c>
      <x:c r="K218" s="5" t="n">
        <x:v>119731.07764915307</x:v>
      </x:c>
      <x:c r="L218" s="5" t="n">
        <x:v>182.83258763617098</x:v>
      </x:c>
      <x:c r="M218" s="5" t="n">
        <x:v>0.30806869114482477</x:v>
      </x:c>
      <x:c r="N218" s="5" t="n">
        <x:v>0</x:v>
      </x:c>
      <x:c r="O218" s="5" t="n">
        <x:v>0</x:v>
      </x:c>
      <x:c r="P218" s="5" t="n">
        <x:v>0</x:v>
      </x:c>
      <x:c r="Q218" s="2" t="n">
        <x:v>182.83258763617098</x:v>
      </x:c>
    </x:row>
    <x:row r="219" ht="20" customHeight="1">
      <x:c r="A219" s="2" t="n">
        <x:v>13</x:v>
      </x:c>
      <x:c r="B219" s="2" t="str">
        <x:v>low</x:v>
      </x:c>
      <x:c r="C219" s="2" t="n">
        <x:v>21</x:v>
      </x:c>
      <x:c r="D219" s="2" t="n">
        <x:v>8</x:v>
      </x:c>
      <x:c r="E219" s="5" t="n">
        <x:v>119731.07764915307</x:v>
      </x:c>
      <x:c r="F219" s="5" t="n">
        <x:v>0</x:v>
      </x:c>
      <x:c r="G219" s="5" t="n">
        <x:v>23199.433304603957</x:v>
      </x:c>
      <x:c r="H219" s="5" t="n">
        <x:v>1792.945093628311</x:v>
      </x:c>
      <x:c r="I219" s="5" t="n">
        <x:v>201.40474059900177</x:v>
      </x:c>
      <x:c r="J219" s="5" t="n">
        <x:v>79.21009083707789</x:v>
      </x:c>
      <x:c r="K219" s="5" t="n">
        <x:v>96330.23960395012</x:v>
      </x:c>
      <x:c r="L219" s="5" t="n">
        <x:v>182.5250371604807</x:v>
      </x:c>
      <x:c r="M219" s="5" t="n">
        <x:v>0.3075504756902833</x:v>
      </x:c>
      <x:c r="N219" s="5" t="n">
        <x:v>0</x:v>
      </x:c>
      <x:c r="O219" s="5" t="n">
        <x:v>0</x:v>
      </x:c>
      <x:c r="P219" s="5" t="n">
        <x:v>0</x:v>
      </x:c>
      <x:c r="Q219" s="2" t="n">
        <x:v>182.5250371604807</x:v>
      </x:c>
    </x:row>
    <x:row r="220" ht="20" customHeight="1">
      <x:c r="A220" s="2" t="n">
        <x:v>13</x:v>
      </x:c>
      <x:c r="B220" s="2" t="str">
        <x:v>low</x:v>
      </x:c>
      <x:c r="C220" s="2" t="n">
        <x:v>22</x:v>
      </x:c>
      <x:c r="D220" s="2" t="n">
        <x:v>9</x:v>
      </x:c>
      <x:c r="E220" s="5" t="n">
        <x:v>96330.23960395012</x:v>
      </x:c>
      <x:c r="F220" s="5" t="n">
        <x:v>0</x:v>
      </x:c>
      <x:c r="G220" s="5" t="n">
        <x:v>23507.814678902483</x:v>
      </x:c>
      <x:c r="H220" s="5" t="n">
        <x:v>1442.5229761319506</x:v>
      </x:c>
      <x:c r="I220" s="5" t="n">
        <x:v>162.04119515339963</x:v>
      </x:c>
      <x:c r="J220" s="5" t="n">
        <x:v>69.69959726401035</x:v>
      </x:c>
      <x:c r="K220" s="5" t="n">
        <x:v>72660.38372989422</x:v>
      </x:c>
      <x:c r="L220" s="5" t="n">
        <x:v>182.2180040285327</x:v>
      </x:c>
      <x:c r="M220" s="5" t="n">
        <x:v>0.3070331319480094</x:v>
      </x:c>
      <x:c r="N220" s="5" t="n">
        <x:v>0</x:v>
      </x:c>
      <x:c r="O220" s="5" t="n">
        <x:v>0</x:v>
      </x:c>
      <x:c r="P220" s="5" t="n">
        <x:v>0</x:v>
      </x:c>
      <x:c r="Q220" s="2" t="n">
        <x:v>182.2180040285327</x:v>
      </x:c>
    </x:row>
    <x:row r="221" ht="20" customHeight="1">
      <x:c r="A221" s="2" t="n">
        <x:v>13</x:v>
      </x:c>
      <x:c r="B221" s="2" t="str">
        <x:v>low</x:v>
      </x:c>
      <x:c r="C221" s="2" t="n">
        <x:v>23</x:v>
      </x:c>
      <x:c r="D221" s="2" t="n">
        <x:v>10</x:v>
      </x:c>
      <x:c r="E221" s="5" t="n">
        <x:v>72660.38372989422</x:v>
      </x:c>
      <x:c r="F221" s="5" t="n">
        <x:v>0</x:v>
      </x:c>
      <x:c r="G221" s="5" t="n">
        <x:v>23820.295251261825</x:v>
      </x:c>
      <x:c r="H221" s="5" t="n">
        <x:v>1088.0723790978568</x:v>
      </x:c>
      <x:c r="I221" s="5" t="n">
        <x:v>122.22512337043841</x:v>
      </x:c>
      <x:c r="J221" s="5" t="n">
        <x:v>60.080453414122566</x:v>
      </x:c>
      <x:c r="K221" s="5" t="n">
        <x:v>48717.863355261965</x:v>
      </x:c>
      <x:c r="L221" s="5" t="n">
        <x:v>181.91148737008103</x:v>
      </x:c>
      <x:c r="M221" s="5" t="n">
        <x:v>0.30651665845165876</x:v>
      </x:c>
      <x:c r="N221" s="5" t="n">
        <x:v>0</x:v>
      </x:c>
      <x:c r="O221" s="5" t="n">
        <x:v>0</x:v>
      </x:c>
      <x:c r="P221" s="5" t="n">
        <x:v>0</x:v>
      </x:c>
      <x:c r="Q221" s="2" t="n">
        <x:v>181.91148737008103</x:v>
      </x:c>
    </x:row>
    <x:row r="222" ht="20" customHeight="1">
      <x:c r="A222" s="2" t="n">
        <x:v>13</x:v>
      </x:c>
      <x:c r="B222" s="2" t="str">
        <x:v>low</x:v>
      </x:c>
      <x:c r="C222" s="2" t="n">
        <x:v>24</x:v>
      </x:c>
      <x:c r="D222" s="2" t="n">
        <x:v>11</x:v>
      </x:c>
      <x:c r="E222" s="5" t="n">
        <x:v>48717.863355261965</x:v>
      </x:c>
      <x:c r="F222" s="5" t="n">
        <x:v>0</x:v>
      </x:c>
      <x:c r="G222" s="5" t="n">
        <x:v>24136.92951078587</x:v>
      </x:c>
      <x:c r="H222" s="5" t="n">
        <x:v>729.5386944635029</x:v>
      </x:c>
      <x:c r="I222" s="5" t="n">
        <x:v>81.95039102843619</x:v>
      </x:c>
      <x:c r="J222" s="5" t="n">
        <x:v>50.35118514975044</x:v>
      </x:c>
      <x:c r="K222" s="5" t="n">
        <x:v>24498.983453447658</x:v>
      </x:c>
      <x:c r="L222" s="5" t="n">
        <x:v>181.60548631634367</x:v>
      </x:c>
      <x:c r="M222" s="5" t="n">
        <x:v>0.3060010537373537</x:v>
      </x:c>
      <x:c r="N222" s="5" t="n">
        <x:v>0</x:v>
      </x:c>
      <x:c r="O222" s="5" t="n">
        <x:v>0</x:v>
      </x:c>
      <x:c r="P222" s="5" t="n">
        <x:v>0</x:v>
      </x:c>
      <x:c r="Q222" s="2" t="n">
        <x:v>181.60548631634367</x:v>
      </x:c>
    </x:row>
    <x:row r="223" ht="20" customHeight="1">
      <x:c r="A223" s="2" t="n">
        <x:v>13</x:v>
      </x:c>
      <x:c r="B223" s="2" t="str">
        <x:v>low</x:v>
      </x:c>
      <x:c r="C223" s="2" t="n">
        <x:v>25</x:v>
      </x:c>
      <x:c r="D223" s="2" t="n">
        <x:v>12</x:v>
      </x:c>
      <x:c r="E223" s="5" t="n">
        <x:v>24498.983453447658</x:v>
      </x:c>
      <x:c r="F223" s="5" t="n">
        <x:v>0</x:v>
      </x:c>
      <x:c r="G223" s="5" t="n">
        <x:v>24457.772670881754</x:v>
      </x:c>
      <x:c r="H223" s="5" t="n">
        <x:v>366.8665900632263</x:v>
      </x:c>
      <x:c r="I223" s="5" t="n">
        <x:v>41.21078256590606</x:v>
      </x:c>
      <x:c r="J223" s="5" t="n">
        <x:v>40.51029878834991</x:v>
      </x:c>
      <x:c r="K223" s="5" t="n">
        <x:v>0</x:v>
      </x:c>
      <x:c r="L223" s="5" t="n">
        <x:v>0</x:v>
      </x:c>
      <x:c r="M223" s="5" t="n">
        <x:v>0.30548631634367895</x:v>
      </x:c>
      <x:c r="N223" s="5" t="n">
        <x:v>0</x:v>
      </x:c>
      <x:c r="O223" s="5" t="n">
        <x:v>0</x:v>
      </x:c>
      <x:c r="P223" s="5" t="n">
        <x:v>0</x:v>
      </x:c>
      <x:c r="Q223" s="2" t="n">
        <x:v>181.3</x:v>
      </x:c>
    </x:row>
    <x:row r="224" ht="20" customHeight="1">
      <x:c r="A224" s="2" t="n">
        <x:v>13</x:v>
      </x:c>
      <x:c r="B224" s="2" t="str">
        <x:v>low</x:v>
      </x:c>
      <x:c r="C224" s="2" t="n">
        <x:v>26</x:v>
      </x:c>
      <x:c r="D224" s="2" t="n">
        <x:v>13</x:v>
      </x:c>
      <x:c r="E224" s="5" t="n">
        <x:v>0</x:v>
      </x:c>
      <x:c r="F224" s="5" t="n">
        <x:v>0</x:v>
      </x:c>
      <x:c r="G224" s="5" t="n">
        <x:v>0</x:v>
      </x:c>
      <x:c r="H224" s="5" t="n">
        <x:v>0</x:v>
      </x:c>
      <x:c r="I224" s="5" t="n">
        <x:v>0</x:v>
      </x:c>
      <x:c r="J224" s="5" t="n">
        <x:v>30.556280842609603</x:v>
      </x:c>
      <x:c r="K224" s="5" t="n">
        <x:v>0</x:v>
      </x:c>
      <x:c r="L224" s="5" t="n">
        <x:v>0</x:v>
      </x:c>
      <x:c r="M224" s="5" t="n">
        <x:v>0</x:v>
      </x:c>
      <x:c r="N224" s="5" t="n">
        <x:v>0</x:v>
      </x:c>
      <x:c r="O224" s="5" t="n">
        <x:v>0</x:v>
      </x:c>
      <x:c r="P224" s="5" t="n">
        <x:v>0</x:v>
      </x:c>
      <x:c r="Q224" s="2" t="n">
        <x:v>0</x:v>
      </x:c>
    </x:row>
    <x:row r="225" ht="20" customHeight="1">
      <x:c r="A225" s="2" t="n">
        <x:v>13</x:v>
      </x:c>
      <x:c r="B225" s="2" t="str">
        <x:v>low</x:v>
      </x:c>
      <x:c r="C225" s="2" t="n">
        <x:v>27</x:v>
      </x:c>
      <x:c r="D225" s="2" t="n">
        <x:v>14</x:v>
      </x:c>
      <x:c r="E225" s="5" t="n">
        <x:v>0</x:v>
      </x:c>
      <x:c r="F225" s="5" t="n">
        <x:v>0</x:v>
      </x:c>
      <x:c r="G225" s="5" t="n">
        <x:v>0</x:v>
      </x:c>
      <x:c r="H225" s="5" t="n">
        <x:v>0</x:v>
      </x:c>
      <x:c r="I225" s="5" t="n">
        <x:v>0</x:v>
      </x:c>
      <x:c r="J225" s="5" t="n">
        <x:v>20.487597757109047</x:v>
      </x:c>
      <x:c r="K225" s="5" t="n">
        <x:v>0</x:v>
      </x:c>
      <x:c r="L225" s="5" t="n">
        <x:v>0</x:v>
      </x:c>
      <x:c r="M225" s="5" t="n">
        <x:v>0</x:v>
      </x:c>
      <x:c r="N225" s="5" t="n">
        <x:v>0</x:v>
      </x:c>
      <x:c r="O225" s="5" t="n">
        <x:v>0</x:v>
      </x:c>
      <x:c r="P225" s="5" t="n">
        <x:v>0</x:v>
      </x:c>
      <x:c r="Q225" s="2" t="n">
        <x:v>0</x:v>
      </x:c>
    </x:row>
    <x:row r="226" ht="20" customHeight="1">
      <x:c r="A226" s="2" t="n">
        <x:v>13</x:v>
      </x:c>
      <x:c r="B226" s="2" t="str">
        <x:v>low</x:v>
      </x:c>
      <x:c r="C226" s="2" t="n">
        <x:v>28</x:v>
      </x:c>
      <x:c r="D226" s="2" t="n">
        <x:v>15</x:v>
      </x:c>
      <x:c r="E226" s="5" t="n">
        <x:v>0</x:v>
      </x:c>
      <x:c r="F226" s="5" t="n">
        <x:v>0</x:v>
      </x:c>
      <x:c r="G226" s="5" t="n">
        <x:v>0</x:v>
      </x:c>
      <x:c r="H226" s="5" t="n">
        <x:v>0</x:v>
      </x:c>
      <x:c r="I226" s="5" t="n">
        <x:v>0</x:v>
      </x:c>
      <x:c r="J226" s="5" t="n">
        <x:v>10.302695641476515</x:v>
      </x:c>
      <x:c r="K226" s="5" t="n">
        <x:v>0</x:v>
      </x:c>
      <x:c r="L226" s="5" t="n">
        <x:v>0</x:v>
      </x:c>
      <x:c r="M226" s="5" t="n">
        <x:v>0</x:v>
      </x:c>
      <x:c r="N226" s="5" t="n">
        <x:v>0</x:v>
      </x:c>
      <x:c r="O226" s="5" t="n">
        <x:v>0</x:v>
      </x:c>
      <x:c r="P226" s="5" t="n">
        <x:v>0</x:v>
      </x:c>
      <x:c r="Q226" s="2" t="n">
        <x:v>0</x:v>
      </x:c>
    </x:row>
    <x:row r="227" ht="20" customHeight="1">
      <x:c r="A227" s="2" t="n">
        <x:v>14</x:v>
      </x:c>
      <x:c r="B227" s="2" t="str">
        <x:v>low</x:v>
      </x:c>
      <x:c r="C227" s="2" t="n">
        <x:v>14</x:v>
      </x:c>
      <x:c r="D227" s="2" t="n">
        <x:v>0</x:v>
      </x:c>
      <x:c r="E227" s="5" t="n">
        <x:v>0</x:v>
      </x:c>
      <x:c r="F227" s="5" t="n">
        <x:v>267117.38</x:v>
      </x:c>
      <x:c r="G227" s="5" t="n">
        <x:v>0</x:v>
      </x:c>
      <x:c r="H227" s="5" t="n">
        <x:v>0</x:v>
      </x:c>
      <x:c r="I227" s="5" t="n">
        <x:v>0</x:v>
      </x:c>
      <x:c r="J227" s="5" t="n">
        <x:v>0</x:v>
      </x:c>
      <x:c r="K227" s="5" t="n">
        <x:v>267117.38</x:v>
      </x:c>
      <x:c r="L227" s="5" t="n">
        <x:v>179</x:v>
      </x:c>
      <x:c r="M227" s="5" t="n">
        <x:v>0</x:v>
      </x:c>
      <x:c r="N227" s="5" t="n">
        <x:v>179</x:v>
      </x:c>
      <x:c r="O227" s="5" t="n">
        <x:v>5342.3476</x:v>
      </x:c>
      <x:c r="P227" s="5" t="n">
        <x:v>4475</x:v>
      </x:c>
      <x:c r="Q227" s="2" t="n">
        <x:v>0</x:v>
      </x:c>
    </x:row>
    <x:row r="228" ht="20" customHeight="1">
      <x:c r="A228" s="2" t="n">
        <x:v>14</x:v>
      </x:c>
      <x:c r="B228" s="2" t="str">
        <x:v>low</x:v>
      </x:c>
      <x:c r="C228" s="2" t="n">
        <x:v>15</x:v>
      </x:c>
      <x:c r="D228" s="2" t="n">
        <x:v>1</x:v>
      </x:c>
      <x:c r="E228" s="5" t="n">
        <x:v>267117.38</x:v>
      </x:c>
      <x:c r="F228" s="5" t="n">
        <x:v>0</x:v>
      </x:c>
      <x:c r="G228" s="5" t="n">
        <x:v>20448.10421977805</x:v>
      </x:c>
      <x:c r="H228" s="5" t="n">
        <x:v>4000.0207573278853</x:v>
      </x:c>
      <x:c r="I228" s="5" t="n">
        <x:v>449.3295114742962</x:v>
      </x:c>
      <x:c r="J228" s="5" t="n">
        <x:v>0</x:v>
      </x:c>
      <x:c r="K228" s="5" t="n">
        <x:v>246219.94626874765</x:v>
      </x:c>
      <x:c r="L228" s="5" t="n">
        <x:v>178.69889648305963</x:v>
      </x:c>
      <x:c r="M228" s="5" t="n">
        <x:v>0.3011035169403767</x:v>
      </x:c>
      <x:c r="N228" s="5" t="n">
        <x:v>0</x:v>
      </x:c>
      <x:c r="O228" s="5" t="n">
        <x:v>0</x:v>
      </x:c>
      <x:c r="P228" s="5" t="n">
        <x:v>0</x:v>
      </x:c>
      <x:c r="Q228" s="2" t="n">
        <x:v>178.69889648305963</x:v>
      </x:c>
    </x:row>
    <x:row r="229" ht="20" customHeight="1">
      <x:c r="A229" s="2" t="n">
        <x:v>14</x:v>
      </x:c>
      <x:c r="B229" s="2" t="str">
        <x:v>low</x:v>
      </x:c>
      <x:c r="C229" s="2" t="n">
        <x:v>16</x:v>
      </x:c>
      <x:c r="D229" s="2" t="n">
        <x:v>2</x:v>
      </x:c>
      <x:c r="E229" s="5" t="n">
        <x:v>246219.94626874765</x:v>
      </x:c>
      <x:c r="F229" s="5" t="n">
        <x:v>0</x:v>
      </x:c>
      <x:c r="G229" s="5" t="n">
        <x:v>20719.913207450318</x:v>
      </x:c>
      <x:c r="H229" s="5" t="n">
        <x:v>3687.0865382969364</x:v>
      </x:c>
      <x:c r="I229" s="5" t="n">
        <x:v>414.1770489519022</x:v>
      </x:c>
      <x:c r="J229" s="5" t="n">
        <x:v>0</x:v>
      </x:c>
      <x:c r="K229" s="5" t="n">
        <x:v>225085.85601234544</x:v>
      </x:c>
      <x:c r="L229" s="5" t="n">
        <x:v>178.39829946515786</x:v>
      </x:c>
      <x:c r="M229" s="5" t="n">
        <x:v>0.3005970179017517</x:v>
      </x:c>
      <x:c r="N229" s="5" t="n">
        <x:v>0</x:v>
      </x:c>
      <x:c r="O229" s="5" t="n">
        <x:v>0</x:v>
      </x:c>
      <x:c r="P229" s="5" t="n">
        <x:v>0</x:v>
      </x:c>
      <x:c r="Q229" s="2" t="n">
        <x:v>178.39829946515786</x:v>
      </x:c>
    </x:row>
    <x:row r="230" ht="20" customHeight="1">
      <x:c r="A230" s="2" t="n">
        <x:v>14</x:v>
      </x:c>
      <x:c r="B230" s="2" t="str">
        <x:v>low</x:v>
      </x:c>
      <x:c r="C230" s="2" t="n">
        <x:v>17</x:v>
      </x:c>
      <x:c r="D230" s="2" t="n">
        <x:v>3</x:v>
      </x:c>
      <x:c r="E230" s="5" t="n">
        <x:v>225085.85601234544</x:v>
      </x:c>
      <x:c r="F230" s="5" t="n">
        <x:v>0</x:v>
      </x:c>
      <x:c r="G230" s="5" t="n">
        <x:v>20995.33525015132</x:v>
      </x:c>
      <x:c r="H230" s="5" t="n">
        <x:v>3370.6084427389087</x:v>
      </x:c>
      <x:c r="I230" s="5" t="n">
        <x:v>378.62649641817</x:v>
      </x:c>
      <x:c r="J230" s="5" t="n">
        <x:v>0</x:v>
      </x:c>
      <x:c r="K230" s="5" t="n">
        <x:v>203711.89426577595</x:v>
      </x:c>
      <x:c r="L230" s="5" t="n">
        <x:v>178.09820809429115</x:v>
      </x:c>
      <x:c r="M230" s="5" t="n">
        <x:v>0.30009137086671256</x:v>
      </x:c>
      <x:c r="N230" s="5" t="n">
        <x:v>0</x:v>
      </x:c>
      <x:c r="O230" s="5" t="n">
        <x:v>0</x:v>
      </x:c>
      <x:c r="P230" s="5" t="n">
        <x:v>0</x:v>
      </x:c>
      <x:c r="Q230" s="2" t="n">
        <x:v>178.09820809429115</x:v>
      </x:c>
    </x:row>
    <x:row r="231" ht="20" customHeight="1">
      <x:c r="A231" s="2" t="n">
        <x:v>14</x:v>
      </x:c>
      <x:c r="B231" s="2" t="str">
        <x:v>low</x:v>
      </x:c>
      <x:c r="C231" s="2" t="n">
        <x:v>18</x:v>
      </x:c>
      <x:c r="D231" s="2" t="n">
        <x:v>4</x:v>
      </x:c>
      <x:c r="E231" s="5" t="n">
        <x:v>203711.89426577595</x:v>
      </x:c>
      <x:c r="F231" s="5" t="n">
        <x:v>0</x:v>
      </x:c>
      <x:c r="G231" s="5" t="n">
        <x:v>21274.41837486778</x:v>
      </x:c>
      <x:c r="H231" s="5" t="n">
        <x:v>3050.5383272989848</x:v>
      </x:c>
      <x:c r="I231" s="5" t="n">
        <x:v>342.67244584363846</x:v>
      </x:c>
      <x:c r="J231" s="5" t="n">
        <x:v>112.33237786857406</x:v>
      </x:c>
      <x:c r="K231" s="5" t="n">
        <x:v>182094.80344506452</x:v>
      </x:c>
      <x:c r="L231" s="5" t="n">
        <x:v>177.79862151988908</x:v>
      </x:c>
      <x:c r="M231" s="5" t="n">
        <x:v>0.29958657440206776</x:v>
      </x:c>
      <x:c r="N231" s="5" t="n">
        <x:v>0</x:v>
      </x:c>
      <x:c r="O231" s="5" t="n">
        <x:v>0</x:v>
      </x:c>
      <x:c r="P231" s="5" t="n">
        <x:v>0</x:v>
      </x:c>
      <x:c r="Q231" s="2" t="n">
        <x:v>177.79862151988908</x:v>
      </x:c>
    </x:row>
    <x:row r="232" ht="20" customHeight="1">
      <x:c r="A232" s="2" t="n">
        <x:v>14</x:v>
      </x:c>
      <x:c r="B232" s="2" t="str">
        <x:v>low</x:v>
      </x:c>
      <x:c r="C232" s="2" t="n">
        <x:v>19</x:v>
      </x:c>
      <x:c r="D232" s="2" t="n">
        <x:v>5</x:v>
      </x:c>
      <x:c r="E232" s="5" t="n">
        <x:v>182094.80344506452</x:v>
      </x:c>
      <x:c r="F232" s="5" t="n">
        <x:v>0</x:v>
      </x:c>
      <x:c r="G232" s="5" t="n">
        <x:v>21557.211246991148</x:v>
      </x:c>
      <x:c r="H232" s="5" t="n">
        <x:v>2726.8274104133525</x:v>
      </x:c>
      <x:c r="I232" s="5" t="n">
        <x:v>306.3094175076846</x:v>
      </x:c>
      <x:c r="J232" s="5" t="n">
        <x:v>103.54426223797554</x:v>
      </x:c>
      <x:c r="K232" s="5" t="n">
        <x:v>160231.2827805657</x:v>
      </x:c>
      <x:c r="L232" s="5" t="n">
        <x:v>177.49953889281204</x:v>
      </x:c>
      <x:c r="M232" s="5" t="n">
        <x:v>0.29908262707703653</x:v>
      </x:c>
      <x:c r="N232" s="5" t="n">
        <x:v>0</x:v>
      </x:c>
      <x:c r="O232" s="5" t="n">
        <x:v>0</x:v>
      </x:c>
      <x:c r="P232" s="5" t="n">
        <x:v>0</x:v>
      </x:c>
      <x:c r="Q232" s="2" t="n">
        <x:v>177.49953889281204</x:v>
      </x:c>
    </x:row>
    <x:row r="233" ht="20" customHeight="1">
      <x:c r="A233" s="2" t="n">
        <x:v>14</x:v>
      </x:c>
      <x:c r="B233" s="2" t="str">
        <x:v>low</x:v>
      </x:c>
      <x:c r="C233" s="2" t="n">
        <x:v>20</x:v>
      </x:c>
      <x:c r="D233" s="2" t="n">
        <x:v>6</x:v>
      </x:c>
      <x:c r="E233" s="5" t="n">
        <x:v>160231.2827805657</x:v>
      </x:c>
      <x:c r="F233" s="5" t="n">
        <x:v>0</x:v>
      </x:c>
      <x:c r="G233" s="5" t="n">
        <x:v>21843.763178803703</x:v>
      </x:c>
      <x:c r="H233" s="5" t="n">
        <x:v>2399.426263822807</x:v>
      </x:c>
      <x:c r="I233" s="5" t="n">
        <x:v>269.531859045231</x:v>
      </x:c>
      <x:c r="J233" s="5" t="n">
        <x:v>94.6566241045425</x:v>
      </x:c>
      <x:c r="K233" s="5" t="n">
        <x:v>138117.98774271677</x:v>
      </x:c>
      <x:c r="L233" s="5" t="n">
        <x:v>177.2009593653488</x:v>
      </x:c>
      <x:c r="M233" s="5" t="n">
        <x:v>0.2985795274632451</x:v>
      </x:c>
      <x:c r="N233" s="5" t="n">
        <x:v>0</x:v>
      </x:c>
      <x:c r="O233" s="5" t="n">
        <x:v>0</x:v>
      </x:c>
      <x:c r="P233" s="5" t="n">
        <x:v>0</x:v>
      </x:c>
      <x:c r="Q233" s="2" t="n">
        <x:v>177.2009593653488</x:v>
      </x:c>
    </x:row>
    <x:row r="234" ht="20" customHeight="1">
      <x:c r="A234" s="2" t="n">
        <x:v>14</x:v>
      </x:c>
      <x:c r="B234" s="2" t="str">
        <x:v>low</x:v>
      </x:c>
      <x:c r="C234" s="2" t="n">
        <x:v>21</x:v>
      </x:c>
      <x:c r="D234" s="2" t="n">
        <x:v>7</x:v>
      </x:c>
      <x:c r="E234" s="5" t="n">
        <x:v>138117.98774271677</x:v>
      </x:c>
      <x:c r="F234" s="5" t="n">
        <x:v>0</x:v>
      </x:c>
      <x:c r="G234" s="5" t="n">
        <x:v>22134.1241380774</x:v>
      </x:c>
      <x:c r="H234" s="5" t="n">
        <x:v>2068.2848039735395</x:v>
      </x:c>
      <x:c r="I234" s="5" t="n">
        <x:v>232.33414448078128</x:v>
      </x:c>
      <x:c r="J234" s="5" t="n">
        <x:v>85.66811146090961</x:v>
      </x:c>
      <x:c r="K234" s="5" t="n">
        <x:v>115751.52946015858</x:v>
      </x:c>
      <x:c r="L234" s="5" t="n">
        <x:v>176.90288209121408</x:v>
      </x:c>
      <x:c r="M234" s="5" t="n">
        <x:v>0.29807727413472235</x:v>
      </x:c>
      <x:c r="N234" s="5" t="n">
        <x:v>0</x:v>
      </x:c>
      <x:c r="O234" s="5" t="n">
        <x:v>0</x:v>
      </x:c>
      <x:c r="P234" s="5" t="n">
        <x:v>0</x:v>
      </x:c>
      <x:c r="Q234" s="2" t="n">
        <x:v>176.90288209121408</x:v>
      </x:c>
    </x:row>
    <x:row r="235" ht="20" customHeight="1">
      <x:c r="A235" s="2" t="n">
        <x:v>14</x:v>
      </x:c>
      <x:c r="B235" s="2" t="str">
        <x:v>low</x:v>
      </x:c>
      <x:c r="C235" s="2" t="n">
        <x:v>22</x:v>
      </x:c>
      <x:c r="D235" s="2" t="n">
        <x:v>8</x:v>
      </x:c>
      <x:c r="E235" s="5" t="n">
        <x:v>115751.52946015858</x:v>
      </x:c>
      <x:c r="F235" s="5" t="n">
        <x:v>0</x:v>
      </x:c>
      <x:c r="G235" s="5" t="n">
        <x:v>22428.34475678708</x:v>
      </x:c>
      <x:c r="H235" s="5" t="n">
        <x:v>1733.3522833036343</x:v>
      </x:c>
      <x:c r="I235" s="5" t="n">
        <x:v>194.71057324961657</x:v>
      </x:c>
      <x:c r="J235" s="5" t="n">
        <x:v>76.57735437692115</x:v>
      </x:c>
      <x:c r="K235" s="5" t="n">
        <x:v>93128.47413012187</x:v>
      </x:c>
      <x:c r="L235" s="5" t="n">
        <x:v>176.6053062255462</x:v>
      </x:c>
      <x:c r="M235" s="5" t="n">
        <x:v>0.29757586566789573</x:v>
      </x:c>
      <x:c r="N235" s="5" t="n">
        <x:v>0</x:v>
      </x:c>
      <x:c r="O235" s="5" t="n">
        <x:v>0</x:v>
      </x:c>
      <x:c r="P235" s="5" t="n">
        <x:v>0</x:v>
      </x:c>
      <x:c r="Q235" s="2" t="n">
        <x:v>176.6053062255462</x:v>
      </x:c>
    </x:row>
    <x:row r="236" ht="20" customHeight="1">
      <x:c r="A236" s="2" t="n">
        <x:v>14</x:v>
      </x:c>
      <x:c r="B236" s="2" t="str">
        <x:v>low</x:v>
      </x:c>
      <x:c r="C236" s="2" t="n">
        <x:v>23</x:v>
      </x:c>
      <x:c r="D236" s="2" t="n">
        <x:v>9</x:v>
      </x:c>
      <x:c r="E236" s="5" t="n">
        <x:v>93128.47413012187</x:v>
      </x:c>
      <x:c r="F236" s="5" t="n">
        <x:v>0</x:v>
      </x:c>
      <x:c r="G236" s="5" t="n">
        <x:v>22726.47633993944</x:v>
      </x:c>
      <x:c r="H236" s="5" t="n">
        <x:v>1394.5772814137385</x:v>
      </x:c>
      <x:c r="I236" s="5" t="n">
        <x:v>156.6553692059809</x:v>
      </x:c>
      <x:c r="J236" s="5" t="n">
        <x:v>67.38296476130775</x:v>
      </x:c>
      <x:c r="K236" s="5" t="n">
        <x:v>70245.34242097646</x:v>
      </x:c>
      <x:c r="L236" s="5" t="n">
        <x:v>176.3082309249046</x:v>
      </x:c>
      <x:c r="M236" s="5" t="n">
        <x:v>0.29707530064158744</x:v>
      </x:c>
      <x:c r="N236" s="5" t="n">
        <x:v>0</x:v>
      </x:c>
      <x:c r="O236" s="5" t="n">
        <x:v>0</x:v>
      </x:c>
      <x:c r="P236" s="5" t="n">
        <x:v>0</x:v>
      </x:c>
      <x:c r="Q236" s="2" t="n">
        <x:v>176.3082309249046</x:v>
      </x:c>
    </x:row>
    <x:row r="237" ht="20" customHeight="1">
      <x:c r="A237" s="2" t="n">
        <x:v>14</x:v>
      </x:c>
      <x:c r="B237" s="2" t="str">
        <x:v>low</x:v>
      </x:c>
      <x:c r="C237" s="2" t="n">
        <x:v>24</x:v>
      </x:c>
      <x:c r="D237" s="2" t="n">
        <x:v>10</x:v>
      </x:c>
      <x:c r="E237" s="5" t="n">
        <x:v>70245.34242097646</x:v>
      </x:c>
      <x:c r="F237" s="5" t="n">
        <x:v>0</x:v>
      </x:c>
      <x:c r="G237" s="5" t="n">
        <x:v>23028.57087451941</x:v>
      </x:c>
      <x:c r="H237" s="5" t="n">
        <x:v>1051.9076961203757</x:v>
      </x:c>
      <x:c r="I237" s="5" t="n">
        <x:v>118.16267961808404</x:v>
      </x:c>
      <x:c r="J237" s="5" t="n">
        <x:v>58.08353612019532</x:v>
      </x:c>
      <x:c r="K237" s="5" t="n">
        <x:v>47098.608866838964</x:v>
      </x:c>
      <x:c r="L237" s="5" t="n">
        <x:v>176.0116553472676</x:v>
      </x:c>
      <x:c r="M237" s="5" t="n">
        <x:v>0.29657557763701037</x:v>
      </x:c>
      <x:c r="N237" s="5" t="n">
        <x:v>0</x:v>
      </x:c>
      <x:c r="O237" s="5" t="n">
        <x:v>0</x:v>
      </x:c>
      <x:c r="P237" s="5" t="n">
        <x:v>0</x:v>
      </x:c>
      <x:c r="Q237" s="2" t="n">
        <x:v>176.0116553472676</x:v>
      </x:c>
    </x:row>
    <x:row r="238" ht="20" customHeight="1">
      <x:c r="A238" s="2" t="n">
        <x:v>14</x:v>
      </x:c>
      <x:c r="B238" s="2" t="str">
        <x:v>low</x:v>
      </x:c>
      <x:c r="C238" s="2" t="n">
        <x:v>25</x:v>
      </x:c>
      <x:c r="D238" s="2" t="n">
        <x:v>11</x:v>
      </x:c>
      <x:c r="E238" s="5" t="n">
        <x:v>47098.608866838964</x:v>
      </x:c>
      <x:c r="F238" s="5" t="n">
        <x:v>0</x:v>
      </x:c>
      <x:c r="G238" s="5" t="n">
        <x:v>23334.68103855544</x:v>
      </x:c>
      <x:c r="H238" s="5" t="n">
        <x:v>705.2907343903382</x:v>
      </x:c>
      <x:c r="I238" s="5" t="n">
        <x:v>79.22657414974536</x:v>
      </x:c>
      <x:c r="J238" s="5" t="n">
        <x:v>48.67764331240414</x:v>
      </x:c>
      <x:c r="K238" s="5" t="n">
        <x:v>23684.701254133775</x:v>
      </x:c>
      <x:c r="L238" s="5" t="n">
        <x:v>175.71557865202982</x:v>
      </x:c>
      <x:c r="M238" s="5" t="n">
        <x:v>0.2960766952377638</x:v>
      </x:c>
      <x:c r="N238" s="5" t="n">
        <x:v>0</x:v>
      </x:c>
      <x:c r="O238" s="5" t="n">
        <x:v>0</x:v>
      </x:c>
      <x:c r="P238" s="5" t="n">
        <x:v>0</x:v>
      </x:c>
      <x:c r="Q238" s="2" t="n">
        <x:v>175.71557865202982</x:v>
      </x:c>
    </x:row>
    <x:row r="239" ht="20" customHeight="1">
      <x:c r="A239" s="2" t="n">
        <x:v>14</x:v>
      </x:c>
      <x:c r="B239" s="2" t="str">
        <x:v>low</x:v>
      </x:c>
      <x:c r="C239" s="2" t="n">
        <x:v>26</x:v>
      </x:c>
      <x:c r="D239" s="2" t="n">
        <x:v>12</x:v>
      </x:c>
      <x:c r="E239" s="5" t="n">
        <x:v>23684.701254133775</x:v>
      </x:c>
      <x:c r="F239" s="5" t="n">
        <x:v>0</x:v>
      </x:c>
      <x:c r="G239" s="5" t="n">
        <x:v>23644.860210305273</x:v>
      </x:c>
      <x:c r="H239" s="5" t="n">
        <x:v>354.6729031545791</x:v>
      </x:c>
      <x:c r="I239" s="5" t="n">
        <x:v>39.84104382850184</x:v>
      </x:c>
      <x:c r="J239" s="5" t="n">
        <x:v>39.16384230149522</x:v>
      </x:c>
      <x:c r="K239" s="5" t="n">
        <x:v>0</x:v>
      </x:c>
      <x:c r="L239" s="5" t="n">
        <x:v>0</x:v>
      </x:c>
      <x:c r="M239" s="5" t="n">
        <x:v>0.2955786520298299</x:v>
      </x:c>
      <x:c r="N239" s="5" t="n">
        <x:v>0</x:v>
      </x:c>
      <x:c r="O239" s="5" t="n">
        <x:v>0</x:v>
      </x:c>
      <x:c r="P239" s="5" t="n">
        <x:v>0</x:v>
      </x:c>
      <x:c r="Q239" s="2" t="n">
        <x:v>175.42</x:v>
      </x:c>
    </x:row>
    <x:row r="240" ht="20" customHeight="1">
      <x:c r="A240" s="2" t="n">
        <x:v>14</x:v>
      </x:c>
      <x:c r="B240" s="2" t="str">
        <x:v>low</x:v>
      </x:c>
      <x:c r="C240" s="2" t="n">
        <x:v>27</x:v>
      </x:c>
      <x:c r="D240" s="2" t="n">
        <x:v>13</x:v>
      </x:c>
      <x:c r="E240" s="5" t="n">
        <x:v>0</x:v>
      </x:c>
      <x:c r="F240" s="5" t="n">
        <x:v>0</x:v>
      </x:c>
      <x:c r="G240" s="5" t="n">
        <x:v>0</x:v>
      </x:c>
      <x:c r="H240" s="5" t="n">
        <x:v>0</x:v>
      </x:c>
      <x:c r="I240" s="5" t="n">
        <x:v>0</x:v>
      </x:c>
      <x:c r="J240" s="5" t="n">
        <x:v>29.54066990452101</x:v>
      </x:c>
      <x:c r="K240" s="5" t="n">
        <x:v>0</x:v>
      </x:c>
      <x:c r="L240" s="5" t="n">
        <x:v>0</x:v>
      </x:c>
      <x:c r="M240" s="5" t="n">
        <x:v>0</x:v>
      </x:c>
      <x:c r="N240" s="5" t="n">
        <x:v>0</x:v>
      </x:c>
      <x:c r="O240" s="5" t="n">
        <x:v>0</x:v>
      </x:c>
      <x:c r="P240" s="5" t="n">
        <x:v>0</x:v>
      </x:c>
      <x:c r="Q240" s="2" t="n">
        <x:v>0</x:v>
      </x:c>
    </x:row>
    <x:row r="241" ht="20" customHeight="1">
      <x:c r="A241" s="2" t="n">
        <x:v>14</x:v>
      </x:c>
      <x:c r="B241" s="2" t="str">
        <x:v>low</x:v>
      </x:c>
      <x:c r="C241" s="2" t="n">
        <x:v>28</x:v>
      </x:c>
      <x:c r="D241" s="2" t="n">
        <x:v>14</x:v>
      </x:c>
      <x:c r="E241" s="5" t="n">
        <x:v>0</x:v>
      </x:c>
      <x:c r="F241" s="5" t="n">
        <x:v>0</x:v>
      </x:c>
      <x:c r="G241" s="5" t="n">
        <x:v>0</x:v>
      </x:c>
      <x:c r="H241" s="5" t="n">
        <x:v>0</x:v>
      </x:c>
      <x:c r="I241" s="5" t="n">
        <x:v>0</x:v>
      </x:c>
      <x:c r="J241" s="5" t="n">
        <x:v>19.80664353743634</x:v>
      </x:c>
      <x:c r="K241" s="5" t="n">
        <x:v>0</x:v>
      </x:c>
      <x:c r="L241" s="5" t="n">
        <x:v>0</x:v>
      </x:c>
      <x:c r="M241" s="5" t="n">
        <x:v>0</x:v>
      </x:c>
      <x:c r="N241" s="5" t="n">
        <x:v>0</x:v>
      </x:c>
      <x:c r="O241" s="5" t="n">
        <x:v>0</x:v>
      </x:c>
      <x:c r="P241" s="5" t="n">
        <x:v>0</x:v>
      </x:c>
      <x:c r="Q241" s="2" t="n">
        <x:v>0</x:v>
      </x:c>
    </x:row>
    <x:row r="242" ht="20" customHeight="1">
      <x:c r="A242" s="2" t="n">
        <x:v>14</x:v>
      </x:c>
      <x:c r="B242" s="2" t="str">
        <x:v>low</x:v>
      </x:c>
      <x:c r="C242" s="2" t="n">
        <x:v>29</x:v>
      </x:c>
      <x:c r="D242" s="2" t="n">
        <x:v>15</x:v>
      </x:c>
      <x:c r="E242" s="5" t="n">
        <x:v>0</x:v>
      </x:c>
      <x:c r="F242" s="5" t="n">
        <x:v>0</x:v>
      </x:c>
      <x:c r="G242" s="5" t="n">
        <x:v>0</x:v>
      </x:c>
      <x:c r="H242" s="5" t="n">
        <x:v>0</x:v>
      </x:c>
      <x:c r="I242" s="5" t="n">
        <x:v>0</x:v>
      </x:c>
      <x:c r="J242" s="5" t="n">
        <x:v>9.96026095712546</x:v>
      </x:c>
      <x:c r="K242" s="5" t="n">
        <x:v>0</x:v>
      </x:c>
      <x:c r="L242" s="5" t="n">
        <x:v>0</x:v>
      </x:c>
      <x:c r="M242" s="5" t="n">
        <x:v>0</x:v>
      </x:c>
      <x:c r="N242" s="5" t="n">
        <x:v>0</x:v>
      </x:c>
      <x:c r="O242" s="5" t="n">
        <x:v>0</x:v>
      </x:c>
      <x:c r="P242" s="5" t="n">
        <x:v>0</x:v>
      </x:c>
      <x:c r="Q242" s="2" t="n">
        <x:v>0</x:v>
      </x:c>
    </x:row>
    <x:row r="243" ht="20" customHeight="1">
      <x:c r="A243" s="2" t="n">
        <x:v>15</x:v>
      </x:c>
      <x:c r="B243" s="2" t="str">
        <x:v>low</x:v>
      </x:c>
      <x:c r="C243" s="2" t="n">
        <x:v>15</x:v>
      </x:c>
      <x:c r="D243" s="2" t="n">
        <x:v>0</x:v>
      </x:c>
      <x:c r="E243" s="5" t="n">
        <x:v>0</x:v>
      </x:c>
      <x:c r="F243" s="5" t="n">
        <x:v>258044.83</x:v>
      </x:c>
      <x:c r="G243" s="5" t="n">
        <x:v>0</x:v>
      </x:c>
      <x:c r="H243" s="5" t="n">
        <x:v>0</x:v>
      </x:c>
      <x:c r="I243" s="5" t="n">
        <x:v>0</x:v>
      </x:c>
      <x:c r="J243" s="5" t="n">
        <x:v>0</x:v>
      </x:c>
      <x:c r="K243" s="5" t="n">
        <x:v>258044.83</x:v>
      </x:c>
      <x:c r="L243" s="5" t="n">
        <x:v>188</x:v>
      </x:c>
      <x:c r="M243" s="5" t="n">
        <x:v>0</x:v>
      </x:c>
      <x:c r="N243" s="5" t="n">
        <x:v>188</x:v>
      </x:c>
      <x:c r="O243" s="5" t="n">
        <x:v>5160.8966</x:v>
      </x:c>
      <x:c r="P243" s="5" t="n">
        <x:v>4700</x:v>
      </x:c>
      <x:c r="Q243" s="2" t="n">
        <x:v>0</x:v>
      </x:c>
    </x:row>
    <x:row r="244" ht="20" customHeight="1">
      <x:c r="A244" s="2" t="n">
        <x:v>15</x:v>
      </x:c>
      <x:c r="B244" s="2" t="str">
        <x:v>low</x:v>
      </x:c>
      <x:c r="C244" s="2" t="n">
        <x:v>16</x:v>
      </x:c>
      <x:c r="D244" s="2" t="n">
        <x:v>1</x:v>
      </x:c>
      <x:c r="E244" s="5" t="n">
        <x:v>258044.83</x:v>
      </x:c>
      <x:c r="F244" s="5" t="n">
        <x:v>0</x:v>
      </x:c>
      <x:c r="G244" s="5" t="n">
        <x:v>19753.59138823131</x:v>
      </x:c>
      <x:c r="H244" s="5" t="n">
        <x:v>3864.1614271641383</x:v>
      </x:c>
      <x:c r="I244" s="5" t="n">
        <x:v>434.0681890574392</x:v>
      </x:c>
      <x:c r="J244" s="5" t="n">
        <x:v>0</x:v>
      </x:c>
      <x:c r="K244" s="5" t="n">
        <x:v>237857.17042271126</x:v>
      </x:c>
      <x:c r="L244" s="5" t="n">
        <x:v>187.68375720008495</x:v>
      </x:c>
      <x:c r="M244" s="5" t="n">
        <x:v>0.31624279991503246</x:v>
      </x:c>
      <x:c r="N244" s="5" t="n">
        <x:v>0</x:v>
      </x:c>
      <x:c r="O244" s="5" t="n">
        <x:v>0</x:v>
      </x:c>
      <x:c r="P244" s="5" t="n">
        <x:v>0</x:v>
      </x:c>
      <x:c r="Q244" s="2" t="n">
        <x:v>187.68375720008495</x:v>
      </x:c>
    </x:row>
    <x:row r="245" ht="20" customHeight="1">
      <x:c r="A245" s="2" t="n">
        <x:v>15</x:v>
      </x:c>
      <x:c r="B245" s="2" t="str">
        <x:v>low</x:v>
      </x:c>
      <x:c r="C245" s="2" t="n">
        <x:v>17</x:v>
      </x:c>
      <x:c r="D245" s="2" t="n">
        <x:v>2</x:v>
      </x:c>
      <x:c r="E245" s="5" t="n">
        <x:v>237857.17042271126</x:v>
      </x:c>
      <x:c r="F245" s="5" t="n">
        <x:v>0</x:v>
      </x:c>
      <x:c r="G245" s="5" t="n">
        <x:v>20016.168477061554</x:v>
      </x:c>
      <x:c r="H245" s="5" t="n">
        <x:v>3561.855911323035</x:v>
      </x:c>
      <x:c r="I245" s="5" t="n">
        <x:v>400.10966784226196</x:v>
      </x:c>
      <x:c r="J245" s="5" t="n">
        <x:v>0</x:v>
      </x:c>
      <x:c r="K245" s="5" t="n">
        <x:v>217440.89227780743</x:v>
      </x:c>
      <x:c r="L245" s="5" t="n">
        <x:v>187.36804636564068</x:v>
      </x:c>
      <x:c r="M245" s="5" t="n">
        <x:v>0.31571083444429787</x:v>
      </x:c>
      <x:c r="N245" s="5" t="n">
        <x:v>0</x:v>
      </x:c>
      <x:c r="O245" s="5" t="n">
        <x:v>0</x:v>
      </x:c>
      <x:c r="P245" s="5" t="n">
        <x:v>0</x:v>
      </x:c>
      <x:c r="Q245" s="2" t="n">
        <x:v>187.36804636564068</x:v>
      </x:c>
    </x:row>
    <x:row r="246" ht="20" customHeight="1">
      <x:c r="A246" s="2" t="n">
        <x:v>15</x:v>
      </x:c>
      <x:c r="B246" s="2" t="str">
        <x:v>low</x:v>
      </x:c>
      <x:c r="C246" s="2" t="n">
        <x:v>18</x:v>
      </x:c>
      <x:c r="D246" s="2" t="n">
        <x:v>3</x:v>
      </x:c>
      <x:c r="E246" s="5" t="n">
        <x:v>217440.89227780743</x:v>
      </x:c>
      <x:c r="F246" s="5" t="n">
        <x:v>0</x:v>
      </x:c>
      <x:c r="G246" s="5" t="n">
        <x:v>20282.235904748337</x:v>
      </x:c>
      <x:c r="H246" s="5" t="n">
        <x:v>3256.1268855030194</x:v>
      </x:c>
      <x:c r="I246" s="5" t="n">
        <x:v>365.76657760615313</x:v>
      </x:c>
      <x:c r="J246" s="5" t="n">
        <x:v>0</x:v>
      </x:c>
      <x:c r="K246" s="5" t="n">
        <x:v>196792.88979545294</x:v>
      </x:c>
      <x:c r="L246" s="5" t="n">
        <x:v>187.05286660182534</x:v>
      </x:c>
      <x:c r="M246" s="5" t="n">
        <x:v>0.31517976381531826</x:v>
      </x:c>
      <x:c r="N246" s="5" t="n">
        <x:v>0</x:v>
      </x:c>
      <x:c r="O246" s="5" t="n">
        <x:v>0</x:v>
      </x:c>
      <x:c r="P246" s="5" t="n">
        <x:v>0</x:v>
      </x:c>
      <x:c r="Q246" s="2" t="n">
        <x:v>187.05286660182534</x:v>
      </x:c>
    </x:row>
    <x:row r="247" ht="20" customHeight="1">
      <x:c r="A247" s="2" t="n">
        <x:v>15</x:v>
      </x:c>
      <x:c r="B247" s="2" t="str">
        <x:v>low</x:v>
      </x:c>
      <x:c r="C247" s="2" t="n">
        <x:v>19</x:v>
      </x:c>
      <x:c r="D247" s="2" t="n">
        <x:v>4</x:v>
      </x:c>
      <x:c r="E247" s="5" t="n">
        <x:v>196792.88979545294</x:v>
      </x:c>
      <x:c r="F247" s="5" t="n">
        <x:v>0</x:v>
      </x:c>
      <x:c r="G247" s="5" t="n">
        <x:v>20551.84006705828</x:v>
      </x:c>
      <x:c r="H247" s="5" t="n">
        <x:v>2946.9278415217714</x:v>
      </x:c>
      <x:c r="I247" s="5" t="n">
        <x:v>331.0336940015131</x:v>
      </x:c>
      <x:c r="J247" s="5" t="n">
        <x:v>108.5170472643598</x:v>
      </x:c>
      <x:c r="K247" s="5" t="n">
        <x:v>175910.01603439316</x:v>
      </x:c>
      <x:c r="L247" s="5" t="n">
        <x:v>186.7382170153025</x:v>
      </x:c>
      <x:c r="M247" s="5" t="n">
        <x:v>0.3146495865228421</x:v>
      </x:c>
      <x:c r="N247" s="5" t="n">
        <x:v>0</x:v>
      </x:c>
      <x:c r="O247" s="5" t="n">
        <x:v>0</x:v>
      </x:c>
      <x:c r="P247" s="5" t="n">
        <x:v>0</x:v>
      </x:c>
      <x:c r="Q247" s="2" t="n">
        <x:v>186.7382170153025</x:v>
      </x:c>
    </x:row>
    <x:row r="248" ht="20" customHeight="1">
      <x:c r="A248" s="2" t="n">
        <x:v>15</x:v>
      </x:c>
      <x:c r="B248" s="2" t="str">
        <x:v>low</x:v>
      </x:c>
      <x:c r="C248" s="2" t="n">
        <x:v>20</x:v>
      </x:c>
      <x:c r="D248" s="2" t="n">
        <x:v>5</x:v>
      </x:c>
      <x:c r="E248" s="5" t="n">
        <x:v>175910.01603439316</x:v>
      </x:c>
      <x:c r="F248" s="5" t="n">
        <x:v>0</x:v>
      </x:c>
      <x:c r="G248" s="5" t="n">
        <x:v>20825.02797647955</x:v>
      </x:c>
      <x:c r="H248" s="5" t="n">
        <x:v>2634.2116546645293</x:v>
      </x:c>
      <x:c r="I248" s="5" t="n">
        <x:v>295.9057234245465</x:v>
      </x:c>
      <x:c r="J248" s="5" t="n">
        <x:v>100.02741696056549</x:v>
      </x:c>
      <x:c r="K248" s="5" t="n">
        <x:v>154789.08233448907</x:v>
      </x:c>
      <x:c r="L248" s="5" t="n">
        <x:v>186.42409671423835</x:v>
      </x:c>
      <x:c r="M248" s="5" t="n">
        <x:v>0.3141203010641501</x:v>
      </x:c>
      <x:c r="N248" s="5" t="n">
        <x:v>0</x:v>
      </x:c>
      <x:c r="O248" s="5" t="n">
        <x:v>0</x:v>
      </x:c>
      <x:c r="P248" s="5" t="n">
        <x:v>0</x:v>
      </x:c>
      <x:c r="Q248" s="2" t="n">
        <x:v>186.42409671423835</x:v>
      </x:c>
    </x:row>
    <x:row r="249" ht="20" customHeight="1">
      <x:c r="A249" s="2" t="n">
        <x:v>15</x:v>
      </x:c>
      <x:c r="B249" s="2" t="str">
        <x:v>low</x:v>
      </x:c>
      <x:c r="C249" s="2" t="n">
        <x:v>21</x:v>
      </x:c>
      <x:c r="D249" s="2" t="n">
        <x:v>6</x:v>
      </x:c>
      <x:c r="E249" s="5" t="n">
        <x:v>154789.08233448907</x:v>
      </x:c>
      <x:c r="F249" s="5" t="n">
        <x:v>0</x:v>
      </x:c>
      <x:c r="G249" s="5" t="n">
        <x:v>21101.847270419697</x:v>
      </x:c>
      <x:c r="H249" s="5" t="n">
        <x:v>2317.9305754859206</x:v>
      </x:c>
      <x:c r="I249" s="5" t="n">
        <x:v>260.3773020943474</x:v>
      </x:c>
      <x:c r="J249" s="5" t="n">
        <x:v>91.44164440153828</x:v>
      </x:c>
      <x:c r="K249" s="5" t="n">
        <x:v>133426.857761975</x:v>
      </x:c>
      <x:c r="L249" s="5" t="n">
        <x:v>186.1105048082993</x:v>
      </x:c>
      <x:c r="M249" s="5" t="n">
        <x:v>0.3135919059390508</x:v>
      </x:c>
      <x:c r="N249" s="5" t="n">
        <x:v>0</x:v>
      </x:c>
      <x:c r="O249" s="5" t="n">
        <x:v>0</x:v>
      </x:c>
      <x:c r="P249" s="5" t="n">
        <x:v>0</x:v>
      </x:c>
      <x:c r="Q249" s="2" t="n">
        <x:v>186.1105048082993</x:v>
      </x:c>
    </x:row>
    <x:row r="250" ht="20" customHeight="1">
      <x:c r="A250" s="2" t="n">
        <x:v>15</x:v>
      </x:c>
      <x:c r="B250" s="2" t="str">
        <x:v>low</x:v>
      </x:c>
      <x:c r="C250" s="2" t="n">
        <x:v>22</x:v>
      </x:c>
      <x:c r="D250" s="2" t="n">
        <x:v>7</x:v>
      </x:c>
      <x:c r="E250" s="5" t="n">
        <x:v>133426.857761975</x:v>
      </x:c>
      <x:c r="F250" s="5" t="n">
        <x:v>0</x:v>
      </x:c>
      <x:c r="G250" s="5" t="n">
        <x:v>21382.346219512485</x:v>
      </x:c>
      <x:c r="H250" s="5" t="n">
        <x:v>1998.036221502829</x:v>
      </x:c>
      <x:c r="I250" s="5" t="n">
        <x:v>224.44299511974341</x:v>
      </x:c>
      <x:c r="J250" s="5" t="n">
        <x:v>82.75842350037827</x:v>
      </x:c>
      <x:c r="K250" s="5" t="n">
        <x:v>111820.06854734279</x:v>
      </x:c>
      <x:c r="L250" s="5" t="n">
        <x:v>185.79744040864944</x:v>
      </x:c>
      <x:c r="M250" s="5" t="n">
        <x:v>0.313064399649876</x:v>
      </x:c>
      <x:c r="N250" s="5" t="n">
        <x:v>0</x:v>
      </x:c>
      <x:c r="O250" s="5" t="n">
        <x:v>0</x:v>
      </x:c>
      <x:c r="P250" s="5" t="n">
        <x:v>0</x:v>
      </x:c>
      <x:c r="Q250" s="2" t="n">
        <x:v>185.79744040864944</x:v>
      </x:c>
    </x:row>
    <x:row r="251" ht="20" customHeight="1">
      <x:c r="A251" s="2" t="n">
        <x:v>15</x:v>
      </x:c>
      <x:c r="B251" s="2" t="str">
        <x:v>low</x:v>
      </x:c>
      <x:c r="C251" s="2" t="n">
        <x:v>23</x:v>
      </x:c>
      <x:c r="D251" s="2" t="n">
        <x:v>8</x:v>
      </x:c>
      <x:c r="E251" s="5" t="n">
        <x:v>111820.06854734279</x:v>
      </x:c>
      <x:c r="F251" s="5" t="n">
        <x:v>0</x:v>
      </x:c>
      <x:c r="G251" s="5" t="n">
        <x:v>21666.573736035123</x:v>
      </x:c>
      <x:c r="H251" s="5" t="n">
        <x:v>1674.4795687768358</x:v>
      </x:c>
      <x:c r="I251" s="5" t="n">
        <x:v>188.0972955537369</x:v>
      </x:c>
      <x:c r="J251" s="5" t="n">
        <x:v>73.97643085613663</x:v>
      </x:c>
      <x:c r="K251" s="5" t="n">
        <x:v>89965.39751575392</x:v>
      </x:c>
      <x:c r="L251" s="5" t="n">
        <x:v>185.48490262794795</x:v>
      </x:c>
      <x:c r="M251" s="5" t="n">
        <x:v>0.3125377807014771</x:v>
      </x:c>
      <x:c r="N251" s="5" t="n">
        <x:v>0</x:v>
      </x:c>
      <x:c r="O251" s="5" t="n">
        <x:v>0</x:v>
      </x:c>
      <x:c r="P251" s="5" t="n">
        <x:v>0</x:v>
      </x:c>
      <x:c r="Q251" s="2" t="n">
        <x:v>185.48490262794795</x:v>
      </x:c>
    </x:row>
    <x:row r="252" ht="20" customHeight="1">
      <x:c r="A252" s="2" t="n">
        <x:v>15</x:v>
      </x:c>
      <x:c r="B252" s="2" t="str">
        <x:v>low</x:v>
      </x:c>
      <x:c r="C252" s="2" t="n">
        <x:v>24</x:v>
      </x:c>
      <x:c r="D252" s="2" t="n">
        <x:v>9</x:v>
      </x:c>
      <x:c r="E252" s="5" t="n">
        <x:v>89965.39751575392</x:v>
      </x:c>
      <x:c r="F252" s="5" t="n">
        <x:v>0</x:v>
      </x:c>
      <x:c r="G252" s="5" t="n">
        <x:v>21954.579382437394</x:v>
      </x:c>
      <x:c r="H252" s="5" t="n">
        <x:v>1347.2109433847781</x:v>
      </x:c>
      <x:c r="I252" s="5" t="n">
        <x:v>151.33462343537727</x:v>
      </x:c>
      <x:c r="J252" s="5" t="n">
        <x:v>65.09432552358685</x:v>
      </x:c>
      <x:c r="K252" s="5" t="n">
        <x:v>67859.48350988116</x:v>
      </x:c>
      <x:c r="L252" s="5" t="n">
        <x:v>185.17289058034675</x:v>
      </x:c>
      <x:c r="M252" s="5" t="n">
        <x:v>0.31201204760122037</x:v>
      </x:c>
      <x:c r="N252" s="5" t="n">
        <x:v>0</x:v>
      </x:c>
      <x:c r="O252" s="5" t="n">
        <x:v>0</x:v>
      </x:c>
      <x:c r="P252" s="5" t="n">
        <x:v>0</x:v>
      </x:c>
      <x:c r="Q252" s="2" t="n">
        <x:v>185.17289058034675</x:v>
      </x:c>
    </x:row>
    <x:row r="253" ht="20" customHeight="1">
      <x:c r="A253" s="2" t="n">
        <x:v>15</x:v>
      </x:c>
      <x:c r="B253" s="2" t="str">
        <x:v>low</x:v>
      </x:c>
      <x:c r="C253" s="2" t="n">
        <x:v>25</x:v>
      </x:c>
      <x:c r="D253" s="2" t="n">
        <x:v>10</x:v>
      </x:c>
      <x:c r="E253" s="5" t="n">
        <x:v>67859.48350988116</x:v>
      </x:c>
      <x:c r="F253" s="5" t="n">
        <x:v>0</x:v>
      </x:c>
      <x:c r="G253" s="5" t="n">
        <x:v>22246.41337998416</x:v>
      </x:c>
      <x:c r="H253" s="5" t="n">
        <x:v>1016.1800127759338</x:v>
      </x:c>
      <x:c r="I253" s="5" t="n">
        <x:v>114.14932481889782</x:v>
      </x:c>
      <x:c r="J253" s="5" t="n">
        <x:v>56.110748779935854</x:v>
      </x:c>
      <x:c r="K253" s="5" t="n">
        <x:v>45498.9208050781</x:v>
      </x:c>
      <x:c r="L253" s="5" t="n">
        <x:v>184.86140338148775</x:v>
      </x:c>
      <x:c r="M253" s="5" t="n">
        <x:v>0.31148719885898296</x:v>
      </x:c>
      <x:c r="N253" s="5" t="n">
        <x:v>0</x:v>
      </x:c>
      <x:c r="O253" s="5" t="n">
        <x:v>0</x:v>
      </x:c>
      <x:c r="P253" s="5" t="n">
        <x:v>0</x:v>
      </x:c>
      <x:c r="Q253" s="2" t="n">
        <x:v>184.86140338148775</x:v>
      </x:c>
    </x:row>
    <x:row r="254" ht="20" customHeight="1">
      <x:c r="A254" s="2" t="n">
        <x:v>15</x:v>
      </x:c>
      <x:c r="B254" s="2" t="str">
        <x:v>low</x:v>
      </x:c>
      <x:c r="C254" s="2" t="n">
        <x:v>26</x:v>
      </x:c>
      <x:c r="D254" s="2" t="n">
        <x:v>11</x:v>
      </x:c>
      <x:c r="E254" s="5" t="n">
        <x:v>45498.9208050781</x:v>
      </x:c>
      <x:c r="F254" s="5" t="n">
        <x:v>0</x:v>
      </x:c>
      <x:c r="G254" s="5" t="n">
        <x:v>22542.12661751273</x:v>
      </x:c>
      <x:c r="H254" s="5" t="n">
        <x:v>681.3357770143223</x:v>
      </x:c>
      <x:c r="I254" s="5" t="n">
        <x:v>76.53567078994799</x:v>
      </x:c>
      <x:c r="J254" s="5" t="n">
        <x:v>47.024323888434225</x:v>
      </x:c>
      <x:c r="K254" s="5" t="n">
        <x:v>22880.258516775422</x:v>
      </x:c>
      <x:c r="L254" s="5" t="n">
        <x:v>184.5504401485006</x:v>
      </x:c>
      <x:c r="M254" s="5" t="n">
        <x:v>0.3109632329871486</x:v>
      </x:c>
      <x:c r="N254" s="5" t="n">
        <x:v>0</x:v>
      </x:c>
      <x:c r="O254" s="5" t="n">
        <x:v>0</x:v>
      </x:c>
      <x:c r="P254" s="5" t="n">
        <x:v>0</x:v>
      </x:c>
      <x:c r="Q254" s="2" t="n">
        <x:v>184.5504401485006</x:v>
      </x:c>
    </x:row>
    <x:row r="255" ht="20" customHeight="1">
      <x:c r="A255" s="2" t="n">
        <x:v>15</x:v>
      </x:c>
      <x:c r="B255" s="2" t="str">
        <x:v>low</x:v>
      </x:c>
      <x:c r="C255" s="2" t="n">
        <x:v>27</x:v>
      </x:c>
      <x:c r="D255" s="2" t="n">
        <x:v>12</x:v>
      </x:c>
      <x:c r="E255" s="5" t="n">
        <x:v>22880.258516775422</x:v>
      </x:c>
      <x:c r="F255" s="5" t="n">
        <x:v>0</x:v>
      </x:c>
      <x:c r="G255" s="5" t="n">
        <x:v>22841.770660306673</x:v>
      </x:c>
      <x:c r="H255" s="5" t="n">
        <x:v>342.6265599046001</x:v>
      </x:c>
      <x:c r="I255" s="5" t="n">
        <x:v>38.48785646874908</x:v>
      </x:c>
      <x:c r="J255" s="5" t="n">
        <x:v>37.83365585884432</x:v>
      </x:c>
      <x:c r="K255" s="5" t="n">
        <x:v>0</x:v>
      </x:c>
      <x:c r="L255" s="5" t="n">
        <x:v>0</x:v>
      </x:c>
      <x:c r="M255" s="5" t="n">
        <x:v>0.3104401485006035</x:v>
      </x:c>
      <x:c r="N255" s="5" t="n">
        <x:v>0</x:v>
      </x:c>
      <x:c r="O255" s="5" t="n">
        <x:v>0</x:v>
      </x:c>
      <x:c r="P255" s="5" t="n">
        <x:v>0</x:v>
      </x:c>
      <x:c r="Q255" s="2" t="n">
        <x:v>184.24</x:v>
      </x:c>
    </x:row>
    <x:row r="256" ht="20" customHeight="1">
      <x:c r="A256" s="2" t="n">
        <x:v>15</x:v>
      </x:c>
      <x:c r="B256" s="2" t="str">
        <x:v>low</x:v>
      </x:c>
      <x:c r="C256" s="2" t="n">
        <x:v>28</x:v>
      </x:c>
      <x:c r="D256" s="2" t="n">
        <x:v>13</x:v>
      </x:c>
      <x:c r="E256" s="5" t="n">
        <x:v>0</x:v>
      </x:c>
      <x:c r="F256" s="5" t="n">
        <x:v>0</x:v>
      </x:c>
      <x:c r="G256" s="5" t="n">
        <x:v>0</x:v>
      </x:c>
      <x:c r="H256" s="5" t="n">
        <x:v>0</x:v>
      </x:c>
      <x:c r="I256" s="5" t="n">
        <x:v>0</x:v>
      </x:c>
      <x:c r="J256" s="5" t="n">
        <x:v>28.537331204724456</x:v>
      </x:c>
      <x:c r="K256" s="5" t="n">
        <x:v>0</x:v>
      </x:c>
      <x:c r="L256" s="5" t="n">
        <x:v>0</x:v>
      </x:c>
      <x:c r="M256" s="5" t="n">
        <x:v>0</x:v>
      </x:c>
      <x:c r="N256" s="5" t="n">
        <x:v>0</x:v>
      </x:c>
      <x:c r="O256" s="5" t="n">
        <x:v>0</x:v>
      </x:c>
      <x:c r="P256" s="5" t="n">
        <x:v>0</x:v>
      </x:c>
      <x:c r="Q256" s="2" t="n">
        <x:v>0</x:v>
      </x:c>
    </x:row>
    <x:row r="257" ht="20" customHeight="1">
      <x:c r="A257" s="2" t="n">
        <x:v>15</x:v>
      </x:c>
      <x:c r="B257" s="2" t="str">
        <x:v>low</x:v>
      </x:c>
      <x:c r="C257" s="2" t="n">
        <x:v>29</x:v>
      </x:c>
      <x:c r="D257" s="2" t="n">
        <x:v>14</x:v>
      </x:c>
      <x:c r="E257" s="5" t="n">
        <x:v>0</x:v>
      </x:c>
      <x:c r="F257" s="5" t="n">
        <x:v>0</x:v>
      </x:c>
      <x:c r="G257" s="5" t="n">
        <x:v>0</x:v>
      </x:c>
      <x:c r="H257" s="5" t="n">
        <x:v>0</x:v>
      </x:c>
      <x:c r="I257" s="5" t="n">
        <x:v>0</x:v>
      </x:c>
      <x:c r="J257" s="5" t="n">
        <x:v>19.133917697486996</x:v>
      </x:c>
      <x:c r="K257" s="5" t="n">
        <x:v>0</x:v>
      </x:c>
      <x:c r="L257" s="5" t="n">
        <x:v>0</x:v>
      </x:c>
      <x:c r="M257" s="5" t="n">
        <x:v>0</x:v>
      </x:c>
      <x:c r="N257" s="5" t="n">
        <x:v>0</x:v>
      </x:c>
      <x:c r="O257" s="5" t="n">
        <x:v>0</x:v>
      </x:c>
      <x:c r="P257" s="5" t="n">
        <x:v>0</x:v>
      </x:c>
      <x:c r="Q257" s="2" t="n">
        <x:v>0</x:v>
      </x:c>
    </x:row>
    <x:row r="258" ht="20" customHeight="1">
      <x:c r="A258" s="2" t="n">
        <x:v>15</x:v>
      </x:c>
      <x:c r="B258" s="2" t="str">
        <x:v>low</x:v>
      </x:c>
      <x:c r="C258" s="2" t="n">
        <x:v>30</x:v>
      </x:c>
      <x:c r="D258" s="2" t="n">
        <x:v>15</x:v>
      </x:c>
      <x:c r="E258" s="5" t="n">
        <x:v>0</x:v>
      </x:c>
      <x:c r="F258" s="5" t="n">
        <x:v>0</x:v>
      </x:c>
      <x:c r="G258" s="5" t="n">
        <x:v>0</x:v>
      </x:c>
      <x:c r="H258" s="5" t="n">
        <x:v>0</x:v>
      </x:c>
      <x:c r="I258" s="5" t="n">
        <x:v>0</x:v>
      </x:c>
      <x:c r="J258" s="5" t="n">
        <x:v>9.62196411718727</x:v>
      </x:c>
      <x:c r="K258" s="5" t="n">
        <x:v>0</x:v>
      </x:c>
      <x:c r="L258" s="5" t="n">
        <x:v>0</x:v>
      </x:c>
      <x:c r="M258" s="5" t="n">
        <x:v>0</x:v>
      </x:c>
      <x:c r="N258" s="5" t="n">
        <x:v>0</x:v>
      </x:c>
      <x:c r="O258" s="5" t="n">
        <x:v>0</x:v>
      </x:c>
      <x:c r="P258" s="5" t="n">
        <x:v>0</x:v>
      </x:c>
      <x:c r="Q258" s="2" t="n">
        <x:v>0</x:v>
      </x:c>
    </x:row>
    <x:row r="259" ht="20" customHeight="1">
      <x:c r="A259" s="2" t="n">
        <x:v>16</x:v>
      </x:c>
      <x:c r="B259" s="2" t="str">
        <x:v>low</x:v>
      </x:c>
      <x:c r="C259" s="2" t="n">
        <x:v>16</x:v>
      </x:c>
      <x:c r="D259" s="2" t="n">
        <x:v>0</x:v>
      </x:c>
      <x:c r="E259" s="5" t="n">
        <x:v>0</x:v>
      </x:c>
      <x:c r="F259" s="5" t="n">
        <x:v>294955.61</x:v>
      </x:c>
      <x:c r="G259" s="5" t="n">
        <x:v>0</x:v>
      </x:c>
      <x:c r="H259" s="5" t="n">
        <x:v>0</x:v>
      </x:c>
      <x:c r="I259" s="5" t="n">
        <x:v>0</x:v>
      </x:c>
      <x:c r="J259" s="5" t="n">
        <x:v>0</x:v>
      </x:c>
      <x:c r="K259" s="5" t="n">
        <x:v>294955.61</x:v>
      </x:c>
      <x:c r="L259" s="5" t="n">
        <x:v>194</x:v>
      </x:c>
      <x:c r="M259" s="5" t="n">
        <x:v>0</x:v>
      </x:c>
      <x:c r="N259" s="5" t="n">
        <x:v>194</x:v>
      </x:c>
      <x:c r="O259" s="5" t="n">
        <x:v>5899.1122</x:v>
      </x:c>
      <x:c r="P259" s="5" t="n">
        <x:v>4850</x:v>
      </x:c>
      <x:c r="Q259" s="2" t="n">
        <x:v>0</x:v>
      </x:c>
    </x:row>
    <x:row r="260" ht="20" customHeight="1">
      <x:c r="A260" s="2" t="n">
        <x:v>16</x:v>
      </x:c>
      <x:c r="B260" s="2" t="str">
        <x:v>low</x:v>
      </x:c>
      <x:c r="C260" s="2" t="n">
        <x:v>17</x:v>
      </x:c>
      <x:c r="D260" s="2" t="n">
        <x:v>1</x:v>
      </x:c>
      <x:c r="E260" s="5" t="n">
        <x:v>294955.61</x:v>
      </x:c>
      <x:c r="F260" s="5" t="n">
        <x:v>0</x:v>
      </x:c>
      <x:c r="G260" s="5" t="n">
        <x:v>22579.148737862768</x:v>
      </x:c>
      <x:c r="H260" s="5" t="n">
        <x:v>4416.891789258746</x:v>
      </x:c>
      <x:c r="I260" s="5" t="n">
        <x:v>496.15738275024654</x:v>
      </x:c>
      <x:c r="J260" s="5" t="n">
        <x:v>0</x:v>
      </x:c>
      <x:c r="K260" s="5" t="n">
        <x:v>271880.303879387</x:v>
      </x:c>
      <x:c r="L260" s="5" t="n">
        <x:v>193.67366434476853</x:v>
      </x:c>
      <x:c r="M260" s="5" t="n">
        <x:v>0.3263356552314697</x:v>
      </x:c>
      <x:c r="N260" s="5" t="n">
        <x:v>0</x:v>
      </x:c>
      <x:c r="O260" s="5" t="n">
        <x:v>0</x:v>
      </x:c>
      <x:c r="P260" s="5" t="n">
        <x:v>0</x:v>
      </x:c>
      <x:c r="Q260" s="2" t="n">
        <x:v>193.67366434476853</x:v>
      </x:c>
    </x:row>
    <x:row r="261" ht="20" customHeight="1">
      <x:c r="A261" s="2" t="n">
        <x:v>16</x:v>
      </x:c>
      <x:c r="B261" s="2" t="str">
        <x:v>low</x:v>
      </x:c>
      <x:c r="C261" s="2" t="n">
        <x:v>18</x:v>
      </x:c>
      <x:c r="D261" s="2" t="n">
        <x:v>2</x:v>
      </x:c>
      <x:c r="E261" s="5" t="n">
        <x:v>271880.303879387</x:v>
      </x:c>
      <x:c r="F261" s="5" t="n">
        <x:v>0</x:v>
      </x:c>
      <x:c r="G261" s="5" t="n">
        <x:v>22879.284901830666</x:v>
      </x:c>
      <x:c r="H261" s="5" t="n">
        <x:v>4071.3444367646957</x:v>
      </x:c>
      <x:c r="I261" s="5" t="n">
        <x:v>457.34142840727236</x:v>
      </x:c>
      <x:c r="J261" s="5" t="n">
        <x:v>0</x:v>
      </x:c>
      <x:c r="K261" s="5" t="n">
        <x:v>248543.67754914906</x:v>
      </x:c>
      <x:c r="L261" s="5" t="n">
        <x:v>193.3478776326292</x:v>
      </x:c>
      <x:c r="M261" s="5" t="n">
        <x:v>0.3257867121393287</x:v>
      </x:c>
      <x:c r="N261" s="5" t="n">
        <x:v>0</x:v>
      </x:c>
      <x:c r="O261" s="5" t="n">
        <x:v>0</x:v>
      </x:c>
      <x:c r="P261" s="5" t="n">
        <x:v>0</x:v>
      </x:c>
      <x:c r="Q261" s="2" t="n">
        <x:v>193.3478776326292</x:v>
      </x:c>
    </x:row>
    <x:row r="262" ht="20" customHeight="1">
      <x:c r="A262" s="2" t="n">
        <x:v>16</x:v>
      </x:c>
      <x:c r="B262" s="2" t="str">
        <x:v>low</x:v>
      </x:c>
      <x:c r="C262" s="2" t="n">
        <x:v>19</x:v>
      </x:c>
      <x:c r="D262" s="2" t="n">
        <x:v>3</x:v>
      </x:c>
      <x:c r="E262" s="5" t="n">
        <x:v>248543.67754914906</x:v>
      </x:c>
      <x:c r="F262" s="5" t="n">
        <x:v>0</x:v>
      </x:c>
      <x:c r="G262" s="5" t="n">
        <x:v>23183.410663367864</x:v>
      </x:c>
      <x:c r="H262" s="5" t="n">
        <x:v>3721.8838747939385</x:v>
      </x:c>
      <x:c r="I262" s="5" t="n">
        <x:v>418.0858962197973</x:v>
      </x:c>
      <x:c r="J262" s="5" t="n">
        <x:v>0</x:v>
      </x:c>
      <x:c r="K262" s="5" t="n">
        <x:v>224942.1809895614</x:v>
      </x:c>
      <x:c r="L262" s="5" t="n">
        <x:v>193.02263894018148</x:v>
      </x:c>
      <x:c r="M262" s="5" t="n">
        <x:v>0.325238692447722</x:v>
      </x:c>
      <x:c r="N262" s="5" t="n">
        <x:v>0</x:v>
      </x:c>
      <x:c r="O262" s="5" t="n">
        <x:v>0</x:v>
      </x:c>
      <x:c r="P262" s="5" t="n">
        <x:v>0</x:v>
      </x:c>
      <x:c r="Q262" s="2" t="n">
        <x:v>193.02263894018148</x:v>
      </x:c>
    </x:row>
    <x:row r="263" ht="20" customHeight="1">
      <x:c r="A263" s="2" t="n">
        <x:v>16</x:v>
      </x:c>
      <x:c r="B263" s="2" t="str">
        <x:v>low</x:v>
      </x:c>
      <x:c r="C263" s="2" t="n">
        <x:v>20</x:v>
      </x:c>
      <x:c r="D263" s="2" t="n">
        <x:v>4</x:v>
      </x:c>
      <x:c r="E263" s="5" t="n">
        <x:v>224942.1809895614</x:v>
      </x:c>
      <x:c r="F263" s="5" t="n">
        <x:v>0</x:v>
      </x:c>
      <x:c r="G263" s="5" t="n">
        <x:v>23491.579054699978</x:v>
      </x:c>
      <x:c r="H263" s="5" t="n">
        <x:v>3368.456942625192</x:v>
      </x:c>
      <x:c r="I263" s="5" t="n">
        <x:v>378.38481454857913</x:v>
      </x:c>
      <x:c r="J263" s="5" t="n">
        <x:v>124.03934568756164</x:v>
      </x:c>
      <x:c r="K263" s="5" t="n">
        <x:v>201072.21712031282</x:v>
      </x:c>
      <x:c r="L263" s="5" t="n">
        <x:v>192.69794734557811</x:v>
      </x:c>
      <x:c r="M263" s="5" t="n">
        <x:v>0.32469159460335834</x:v>
      </x:c>
      <x:c r="N263" s="5" t="n">
        <x:v>0</x:v>
      </x:c>
      <x:c r="O263" s="5" t="n">
        <x:v>0</x:v>
      </x:c>
      <x:c r="P263" s="5" t="n">
        <x:v>0</x:v>
      </x:c>
      <x:c r="Q263" s="2" t="n">
        <x:v>192.69794734557811</x:v>
      </x:c>
    </x:row>
    <x:row r="264" ht="20" customHeight="1">
      <x:c r="A264" s="2" t="n">
        <x:v>16</x:v>
      </x:c>
      <x:c r="B264" s="2" t="str">
        <x:v>low</x:v>
      </x:c>
      <x:c r="C264" s="2" t="n">
        <x:v>21</x:v>
      </x:c>
      <x:c r="D264" s="2" t="n">
        <x:v>5</x:v>
      </x:c>
      <x:c r="E264" s="5" t="n">
        <x:v>201072.21712031282</x:v>
      </x:c>
      <x:c r="F264" s="5" t="n">
        <x:v>0</x:v>
      </x:c>
      <x:c r="G264" s="5" t="n">
        <x:v>23803.843812990137</x:v>
      </x:c>
      <x:c r="H264" s="5" t="n">
        <x:v>3011.009774815816</x:v>
      </x:c>
      <x:c r="I264" s="5" t="n">
        <x:v>338.23213259176094</x:v>
      </x:c>
      <x:c r="J264" s="5" t="n">
        <x:v>114.33535710181809</x:v>
      </x:c>
      <x:c r="K264" s="5" t="n">
        <x:v>176930.14117473093</x:v>
      </x:c>
      <x:c r="L264" s="5" t="n">
        <x:v>192.37380192852257</x:v>
      </x:c>
      <x:c r="M264" s="5" t="n">
        <x:v>0.32414541705555916</x:v>
      </x:c>
      <x:c r="N264" s="5" t="n">
        <x:v>0</x:v>
      </x:c>
      <x:c r="O264" s="5" t="n">
        <x:v>0</x:v>
      </x:c>
      <x:c r="P264" s="5" t="n">
        <x:v>0</x:v>
      </x:c>
      <x:c r="Q264" s="2" t="n">
        <x:v>192.37380192852257</x:v>
      </x:c>
    </x:row>
    <x:row r="265" ht="20" customHeight="1">
      <x:c r="A265" s="2" t="n">
        <x:v>16</x:v>
      </x:c>
      <x:c r="B265" s="2" t="str">
        <x:v>low</x:v>
      </x:c>
      <x:c r="C265" s="2" t="n">
        <x:v>22</x:v>
      </x:c>
      <x:c r="D265" s="2" t="n">
        <x:v>6</x:v>
      </x:c>
      <x:c r="E265" s="5" t="n">
        <x:v>176930.14117473093</x:v>
      </x:c>
      <x:c r="F265" s="5" t="n">
        <x:v>0</x:v>
      </x:c>
      <x:c r="G265" s="5" t="n">
        <x:v>24120.25938970944</x:v>
      </x:c>
      <x:c r="H265" s="5" t="n">
        <x:v>2649.4877918309808</x:v>
      </x:c>
      <x:c r="I265" s="5" t="n">
        <x:v>297.6217193322281</x:v>
      </x:c>
      <x:c r="J265" s="5" t="n">
        <x:v>104.52147405494932</x:v>
      </x:c>
      <x:c r="K265" s="5" t="n">
        <x:v>152512.26006568928</x:v>
      </x:c>
      <x:c r="L265" s="5" t="n">
        <x:v>192.0502017702663</x:v>
      </x:c>
      <x:c r="M265" s="5" t="n">
        <x:v>0.3236001582562545</x:v>
      </x:c>
      <x:c r="N265" s="5" t="n">
        <x:v>0</x:v>
      </x:c>
      <x:c r="O265" s="5" t="n">
        <x:v>0</x:v>
      </x:c>
      <x:c r="P265" s="5" t="n">
        <x:v>0</x:v>
      </x:c>
      <x:c r="Q265" s="2" t="n">
        <x:v>192.0502017702663</x:v>
      </x:c>
    </x:row>
    <x:row r="266" ht="20" customHeight="1">
      <x:c r="A266" s="2" t="n">
        <x:v>16</x:v>
      </x:c>
      <x:c r="B266" s="2" t="str">
        <x:v>low</x:v>
      </x:c>
      <x:c r="C266" s="2" t="n">
        <x:v>23</x:v>
      </x:c>
      <x:c r="D266" s="2" t="n">
        <x:v>7</x:v>
      </x:c>
      <x:c r="E266" s="5" t="n">
        <x:v>152512.26006568928</x:v>
      </x:c>
      <x:c r="F266" s="5" t="n">
        <x:v>0</x:v>
      </x:c>
      <x:c r="G266" s="5" t="n">
        <x:v>24440.880960132</x:v>
      </x:c>
      <x:c r="H266" s="5" t="n">
        <x:v>2283.835690548274</x:v>
      </x:c>
      <x:c r="I266" s="5" t="n">
        <x:v>256.5473624709743</x:v>
      </x:c>
      <x:c r="J266" s="5" t="n">
        <x:v>94.59620363714478</x:v>
      </x:c>
      <x:c r="K266" s="5" t="n">
        <x:v>127814.8317430863</x:v>
      </x:c>
      <x:c r="L266" s="5" t="n">
        <x:v>191.72714595360634</x:v>
      </x:c>
      <x:c r="M266" s="5" t="n">
        <x:v>0.3230558166599784</x:v>
      </x:c>
      <x:c r="N266" s="5" t="n">
        <x:v>0</x:v>
      </x:c>
      <x:c r="O266" s="5" t="n">
        <x:v>0</x:v>
      </x:c>
      <x:c r="P266" s="5" t="n">
        <x:v>0</x:v>
      </x:c>
      <x:c r="Q266" s="2" t="n">
        <x:v>191.72714595360634</x:v>
      </x:c>
    </x:row>
    <x:row r="267" ht="20" customHeight="1">
      <x:c r="A267" s="2" t="n">
        <x:v>16</x:v>
      </x:c>
      <x:c r="B267" s="2" t="str">
        <x:v>low</x:v>
      </x:c>
      <x:c r="C267" s="2" t="n">
        <x:v>24</x:v>
      </x:c>
      <x:c r="D267" s="2" t="n">
        <x:v>8</x:v>
      </x:c>
      <x:c r="E267" s="5" t="n">
        <x:v>127814.8317430863</x:v>
      </x:c>
      <x:c r="F267" s="5" t="n">
        <x:v>0</x:v>
      </x:c>
      <x:c r="G267" s="5" t="n">
        <x:v>24765.76443295616</x:v>
      </x:c>
      <x:c r="H267" s="5" t="n">
        <x:v>1913.9974346361</x:v>
      </x:c>
      <x:c r="I267" s="5" t="n">
        <x:v>215.00276734628923</x:v>
      </x:c>
      <x:c r="J267" s="5" t="n">
        <x:v>84.55803314794024</x:v>
      </x:c>
      <x:c r="K267" s="5" t="n">
        <x:v>102834.06454278385</x:v>
      </x:c>
      <x:c r="L267" s="5" t="n">
        <x:v>191.40463356288245</x:v>
      </x:c>
      <x:c r="M267" s="5" t="n">
        <x:v>0.3225123907238646</x:v>
      </x:c>
      <x:c r="N267" s="5" t="n">
        <x:v>0</x:v>
      </x:c>
      <x:c r="O267" s="5" t="n">
        <x:v>0</x:v>
      </x:c>
      <x:c r="P267" s="5" t="n">
        <x:v>0</x:v>
      </x:c>
      <x:c r="Q267" s="2" t="n">
        <x:v>191.40463356288245</x:v>
      </x:c>
    </x:row>
    <x:row r="268" ht="20" customHeight="1">
      <x:c r="A268" s="2" t="n">
        <x:v>16</x:v>
      </x:c>
      <x:c r="B268" s="2" t="str">
        <x:v>low</x:v>
      </x:c>
      <x:c r="C268" s="2" t="n">
        <x:v>25</x:v>
      </x:c>
      <x:c r="D268" s="2" t="n">
        <x:v>9</x:v>
      </x:c>
      <x:c r="E268" s="5" t="n">
        <x:v>102834.06454278385</x:v>
      </x:c>
      <x:c r="F268" s="5" t="n">
        <x:v>0</x:v>
      </x:c>
      <x:c r="G268" s="5" t="n">
        <x:v>25094.966460053645</x:v>
      </x:c>
      <x:c r="H268" s="5" t="n">
        <x:v>1539.9162448041789</x:v>
      </x:c>
      <x:c r="I268" s="5" t="n">
        <x:v>172.98155583858045</x:v>
      </x:c>
      <x:c r="J268" s="5" t="n">
        <x:v>74.40542983305703</x:v>
      </x:c>
      <x:c r="K268" s="5" t="n">
        <x:v>77566.11652689161</x:v>
      </x:c>
      <x:c r="L268" s="5" t="n">
        <x:v>191.08266368397483</x:v>
      </x:c>
      <x:c r="M268" s="5" t="n">
        <x:v>0.3219698789076423</x:v>
      </x:c>
      <x:c r="N268" s="5" t="n">
        <x:v>0</x:v>
      </x:c>
      <x:c r="O268" s="5" t="n">
        <x:v>0</x:v>
      </x:c>
      <x:c r="P268" s="5" t="n">
        <x:v>0</x:v>
      </x:c>
      <x:c r="Q268" s="2" t="n">
        <x:v>191.08266368397483</x:v>
      </x:c>
    </x:row>
    <x:row r="269" ht="20" customHeight="1">
      <x:c r="A269" s="2" t="n">
        <x:v>16</x:v>
      </x:c>
      <x:c r="B269" s="2" t="str">
        <x:v>low</x:v>
      </x:c>
      <x:c r="C269" s="2" t="n">
        <x:v>26</x:v>
      </x:c>
      <x:c r="D269" s="2" t="n">
        <x:v>10</x:v>
      </x:c>
      <x:c r="E269" s="5" t="n">
        <x:v>77566.11652689161</x:v>
      </x:c>
      <x:c r="F269" s="5" t="n">
        <x:v>0</x:v>
      </x:c>
      <x:c r="G269" s="5" t="n">
        <x:v>25428.544446348293</x:v>
      </x:c>
      <x:c r="H269" s="5" t="n">
        <x:v>1161.5345889244647</x:v>
      </x:c>
      <x:c r="I269" s="5" t="n">
        <x:v>130.47726526063764</x:v>
      </x:c>
      <x:c r="J269" s="5" t="n">
        <x:v>64.13684061774357</x:v>
      </x:c>
      <x:c r="K269" s="5" t="n">
        <x:v>52007.09481528268</x:v>
      </x:c>
      <x:c r="L269" s="5" t="n">
        <x:v>190.7612354043012</x:v>
      </x:c>
      <x:c r="M269" s="5" t="n">
        <x:v>0.32142827967363136</x:v>
      </x:c>
      <x:c r="N269" s="5" t="n">
        <x:v>0</x:v>
      </x:c>
      <x:c r="O269" s="5" t="n">
        <x:v>0</x:v>
      </x:c>
      <x:c r="P269" s="5" t="n">
        <x:v>0</x:v>
      </x:c>
      <x:c r="Q269" s="2" t="n">
        <x:v>190.7612354043012</x:v>
      </x:c>
    </x:row>
    <x:row r="270" ht="20" customHeight="1">
      <x:c r="A270" s="2" t="n">
        <x:v>16</x:v>
      </x:c>
      <x:c r="B270" s="2" t="str">
        <x:v>low</x:v>
      </x:c>
      <x:c r="C270" s="2" t="n">
        <x:v>27</x:v>
      </x:c>
      <x:c r="D270" s="2" t="n">
        <x:v>11</x:v>
      </x:c>
      <x:c r="E270" s="5" t="n">
        <x:v>52007.09481528268</x:v>
      </x:c>
      <x:c r="F270" s="5" t="n">
        <x:v>0</x:v>
      </x:c>
      <x:c r="G270" s="5" t="n">
        <x:v>25766.556559826073</x:v>
      </x:c>
      <x:c r="H270" s="5" t="n">
        <x:v>778.7941720207431</x:v>
      </x:c>
      <x:c r="I270" s="5" t="n">
        <x:v>87.48334723314662</x:v>
      </x:c>
      <x:c r="J270" s="5" t="n">
        <x:v>53.75069183657231</x:v>
      </x:c>
      <x:c r="K270" s="5" t="n">
        <x:v>26153.054908223465</x:v>
      </x:c>
      <x:c r="L270" s="5" t="n">
        <x:v>190.44034781281445</x:v>
      </x:c>
      <x:c r="M270" s="5" t="n">
        <x:v>0.32088759148673845</x:v>
      </x:c>
      <x:c r="N270" s="5" t="n">
        <x:v>0</x:v>
      </x:c>
      <x:c r="O270" s="5" t="n">
        <x:v>0</x:v>
      </x:c>
      <x:c r="P270" s="5" t="n">
        <x:v>0</x:v>
      </x:c>
      <x:c r="Q270" s="2" t="n">
        <x:v>190.44034781281445</x:v>
      </x:c>
    </x:row>
    <x:row r="271" ht="20" customHeight="1">
      <x:c r="A271" s="2" t="n">
        <x:v>16</x:v>
      </x:c>
      <x:c r="B271" s="2" t="str">
        <x:v>low</x:v>
      </x:c>
      <x:c r="C271" s="2" t="n">
        <x:v>28</x:v>
      </x:c>
      <x:c r="D271" s="2" t="n">
        <x:v>12</x:v>
      </x:c>
      <x:c r="E271" s="5" t="n">
        <x:v>26153.054908223465</x:v>
      </x:c>
      <x:c r="F271" s="5" t="n">
        <x:v>0</x:v>
      </x:c>
      <x:c r="G271" s="5" t="n">
        <x:v>26109.061741678208</x:v>
      </x:c>
      <x:c r="H271" s="5" t="n">
        <x:v>391.6359261251731</x:v>
      </x:c>
      <x:c r="I271" s="5" t="n">
        <x:v>43.99316654525623</x:v>
      </x:c>
      <x:c r="J271" s="5" t="n">
        <x:v>43.24538895964511</x:v>
      </x:c>
      <x:c r="K271" s="5" t="n">
        <x:v>0</x:v>
      </x:c>
      <x:c r="L271" s="5" t="n">
        <x:v>0</x:v>
      </x:c>
      <x:c r="M271" s="5" t="n">
        <x:v>0.3203478128144525</x:v>
      </x:c>
      <x:c r="N271" s="5" t="n">
        <x:v>0</x:v>
      </x:c>
      <x:c r="O271" s="5" t="n">
        <x:v>0</x:v>
      </x:c>
      <x:c r="P271" s="5" t="n">
        <x:v>0</x:v>
      </x:c>
      <x:c r="Q271" s="2" t="n">
        <x:v>190.12</x:v>
      </x:c>
    </x:row>
    <x:row r="272" ht="20" customHeight="1">
      <x:c r="A272" s="2" t="n">
        <x:v>16</x:v>
      </x:c>
      <x:c r="B272" s="2" t="str">
        <x:v>low</x:v>
      </x:c>
      <x:c r="C272" s="2" t="n">
        <x:v>29</x:v>
      </x:c>
      <x:c r="D272" s="2" t="n">
        <x:v>13</x:v>
      </x:c>
      <x:c r="E272" s="5" t="n">
        <x:v>0</x:v>
      </x:c>
      <x:c r="F272" s="5" t="n">
        <x:v>0</x:v>
      </x:c>
      <x:c r="G272" s="5" t="n">
        <x:v>0</x:v>
      </x:c>
      <x:c r="H272" s="5" t="n">
        <x:v>0</x:v>
      </x:c>
      <x:c r="I272" s="5" t="n">
        <x:v>0</x:v>
      </x:c>
      <x:c r="J272" s="5" t="n">
        <x:v>32.61931631515941</x:v>
      </x:c>
      <x:c r="K272" s="5" t="n">
        <x:v>0</x:v>
      </x:c>
      <x:c r="L272" s="5" t="n">
        <x:v>0</x:v>
      </x:c>
      <x:c r="M272" s="5" t="n">
        <x:v>0</x:v>
      </x:c>
      <x:c r="N272" s="5" t="n">
        <x:v>0</x:v>
      </x:c>
      <x:c r="O272" s="5" t="n">
        <x:v>0</x:v>
      </x:c>
      <x:c r="P272" s="5" t="n">
        <x:v>0</x:v>
      </x:c>
      <x:c r="Q272" s="2" t="n">
        <x:v>0</x:v>
      </x:c>
    </x:row>
    <x:row r="273" ht="20" customHeight="1">
      <x:c r="A273" s="2" t="n">
        <x:v>16</x:v>
      </x:c>
      <x:c r="B273" s="2" t="str">
        <x:v>low</x:v>
      </x:c>
      <x:c r="C273" s="2" t="n">
        <x:v>30</x:v>
      </x:c>
      <x:c r="D273" s="2" t="n">
        <x:v>14</x:v>
      </x:c>
      <x:c r="E273" s="5" t="n">
        <x:v>0</x:v>
      </x:c>
      <x:c r="F273" s="5" t="n">
        <x:v>0</x:v>
      </x:c>
      <x:c r="G273" s="5" t="n">
        <x:v>0</x:v>
      </x:c>
      <x:c r="H273" s="5" t="n">
        <x:v>0</x:v>
      </x:c>
      <x:c r="I273" s="5" t="n">
        <x:v>0</x:v>
      </x:c>
      <x:c r="J273" s="5" t="n">
        <x:v>21.870836808286654</x:v>
      </x:c>
      <x:c r="K273" s="5" t="n">
        <x:v>0</x:v>
      </x:c>
      <x:c r="L273" s="5" t="n">
        <x:v>0</x:v>
      </x:c>
      <x:c r="M273" s="5" t="n">
        <x:v>0</x:v>
      </x:c>
      <x:c r="N273" s="5" t="n">
        <x:v>0</x:v>
      </x:c>
      <x:c r="O273" s="5" t="n">
        <x:v>0</x:v>
      </x:c>
      <x:c r="P273" s="5" t="n">
        <x:v>0</x:v>
      </x:c>
      <x:c r="Q273" s="2" t="n">
        <x:v>0</x:v>
      </x:c>
    </x:row>
    <x:row r="274" ht="20" customHeight="1">
      <x:c r="A274" s="2" t="n">
        <x:v>16</x:v>
      </x:c>
      <x:c r="B274" s="2" t="str">
        <x:v>low</x:v>
      </x:c>
      <x:c r="C274" s="2" t="n">
        <x:v>31</x:v>
      </x:c>
      <x:c r="D274" s="2" t="n">
        <x:v>15</x:v>
      </x:c>
      <x:c r="E274" s="5" t="n">
        <x:v>0</x:v>
      </x:c>
      <x:c r="F274" s="5" t="n">
        <x:v>0</x:v>
      </x:c>
      <x:c r="G274" s="5" t="n">
        <x:v>0</x:v>
      </x:c>
      <x:c r="H274" s="5" t="n">
        <x:v>0</x:v>
      </x:c>
      <x:c r="I274" s="5" t="n">
        <x:v>0</x:v>
      </x:c>
      <x:c r="J274" s="5" t="n">
        <x:v>10.998291636314057</x:v>
      </x:c>
      <x:c r="K274" s="5" t="n">
        <x:v>0</x:v>
      </x:c>
      <x:c r="L274" s="5" t="n">
        <x:v>0</x:v>
      </x:c>
      <x:c r="M274" s="5" t="n">
        <x:v>0</x:v>
      </x:c>
      <x:c r="N274" s="5" t="n">
        <x:v>0</x:v>
      </x:c>
      <x:c r="O274" s="5" t="n">
        <x:v>0</x:v>
      </x:c>
      <x:c r="P274" s="5" t="n">
        <x:v>0</x:v>
      </x:c>
      <x:c r="Q274" s="2" t="n">
        <x:v>0</x:v>
      </x:c>
    </x:row>
    <x:row r="275" ht="20" customHeight="1">
      <x:c r="A275" s="2" t="n">
        <x:v>17</x:v>
      </x:c>
      <x:c r="B275" s="2" t="str">
        <x:v>low</x:v>
      </x:c>
      <x:c r="C275" s="2" t="n">
        <x:v>17</x:v>
      </x:c>
      <x:c r="D275" s="2" t="n">
        <x:v>0</x:v>
      </x:c>
      <x:c r="E275" s="5" t="n">
        <x:v>0</x:v>
      </x:c>
      <x:c r="F275" s="5" t="n">
        <x:v>280193.68</x:v>
      </x:c>
      <x:c r="G275" s="5" t="n">
        <x:v>0</x:v>
      </x:c>
      <x:c r="H275" s="5" t="n">
        <x:v>0</x:v>
      </x:c>
      <x:c r="I275" s="5" t="n">
        <x:v>0</x:v>
      </x:c>
      <x:c r="J275" s="5" t="n">
        <x:v>0</x:v>
      </x:c>
      <x:c r="K275" s="5" t="n">
        <x:v>280193.68</x:v>
      </x:c>
      <x:c r="L275" s="5" t="n">
        <x:v>183</x:v>
      </x:c>
      <x:c r="M275" s="5" t="n">
        <x:v>0</x:v>
      </x:c>
      <x:c r="N275" s="5" t="n">
        <x:v>183</x:v>
      </x:c>
      <x:c r="O275" s="5" t="n">
        <x:v>5603.8736</x:v>
      </x:c>
      <x:c r="P275" s="5" t="n">
        <x:v>4575</x:v>
      </x:c>
      <x:c r="Q275" s="2" t="n">
        <x:v>0</x:v>
      </x:c>
    </x:row>
    <x:row r="276" ht="20" customHeight="1">
      <x:c r="A276" s="2" t="n">
        <x:v>17</x:v>
      </x:c>
      <x:c r="B276" s="2" t="str">
        <x:v>low</x:v>
      </x:c>
      <x:c r="C276" s="2" t="n">
        <x:v>18</x:v>
      </x:c>
      <x:c r="D276" s="2" t="n">
        <x:v>1</x:v>
      </x:c>
      <x:c r="E276" s="5" t="n">
        <x:v>280193.68</x:v>
      </x:c>
      <x:c r="F276" s="5" t="n">
        <x:v>0</x:v>
      </x:c>
      <x:c r="G276" s="5" t="n">
        <x:v>21449.10814250702</x:v>
      </x:c>
      <x:c r="H276" s="5" t="n">
        <x:v>4195.83531431795</x:v>
      </x:c>
      <x:c r="I276" s="5" t="n">
        <x:v>471.3257121366842</x:v>
      </x:c>
      <x:c r="J276" s="5" t="n">
        <x:v>0</x:v>
      </x:c>
      <x:c r="K276" s="5" t="n">
        <x:v>258273.2461453563</x:v>
      </x:c>
      <x:c r="L276" s="5" t="n">
        <x:v>182.69216791284867</x:v>
      </x:c>
      <x:c r="M276" s="5" t="n">
        <x:v>0.3078320871513348</x:v>
      </x:c>
      <x:c r="N276" s="5" t="n">
        <x:v>0</x:v>
      </x:c>
      <x:c r="O276" s="5" t="n">
        <x:v>0</x:v>
      </x:c>
      <x:c r="P276" s="5" t="n">
        <x:v>0</x:v>
      </x:c>
      <x:c r="Q276" s="2" t="n">
        <x:v>182.69216791284867</x:v>
      </x:c>
    </x:row>
    <x:row r="277" ht="20" customHeight="1">
      <x:c r="A277" s="2" t="n">
        <x:v>17</x:v>
      </x:c>
      <x:c r="B277" s="2" t="str">
        <x:v>low</x:v>
      </x:c>
      <x:c r="C277" s="2" t="n">
        <x:v>19</x:v>
      </x:c>
      <x:c r="D277" s="2" t="n">
        <x:v>2</x:v>
      </x:c>
      <x:c r="E277" s="5" t="n">
        <x:v>258273.2461453563</x:v>
      </x:c>
      <x:c r="F277" s="5" t="n">
        <x:v>0</x:v>
      </x:c>
      <x:c r="G277" s="5" t="n">
        <x:v>21734.223100256928</x:v>
      </x:c>
      <x:c r="H277" s="5" t="n">
        <x:v>3867.581905916715</x:v>
      </x:c>
      <x:c r="I277" s="5" t="n">
        <x:v>434.4524175752758</x:v>
      </x:c>
      <x:c r="J277" s="5" t="n">
        <x:v>0</x:v>
      </x:c>
      <x:c r="K277" s="5" t="n">
        <x:v>236104.57062752408</x:v>
      </x:c>
      <x:c r="L277" s="5" t="n">
        <x:v>182.38485364315022</x:v>
      </x:c>
      <x:c r="M277" s="5" t="n">
        <x:v>0.3073142696984389</x:v>
      </x:c>
      <x:c r="N277" s="5" t="n">
        <x:v>0</x:v>
      </x:c>
      <x:c r="O277" s="5" t="n">
        <x:v>0</x:v>
      </x:c>
      <x:c r="P277" s="5" t="n">
        <x:v>0</x:v>
      </x:c>
      <x:c r="Q277" s="2" t="n">
        <x:v>182.38485364315022</x:v>
      </x:c>
    </x:row>
    <x:row r="278" ht="20" customHeight="1">
      <x:c r="A278" s="2" t="n">
        <x:v>17</x:v>
      </x:c>
      <x:c r="B278" s="2" t="str">
        <x:v>low</x:v>
      </x:c>
      <x:c r="C278" s="2" t="n">
        <x:v>20</x:v>
      </x:c>
      <x:c r="D278" s="2" t="n">
        <x:v>3</x:v>
      </x:c>
      <x:c r="E278" s="5" t="n">
        <x:v>236104.57062752408</x:v>
      </x:c>
      <x:c r="F278" s="5" t="n">
        <x:v>0</x:v>
      </x:c>
      <x:c r="G278" s="5" t="n">
        <x:v>22023.12798431019</x:v>
      </x:c>
      <x:c r="H278" s="5" t="n">
        <x:v>3535.6111362356287</x:v>
      </x:c>
      <x:c r="I278" s="5" t="n">
        <x:v>397.16154514885505</x:v>
      </x:c>
      <x:c r="J278" s="5" t="n">
        <x:v>0</x:v>
      </x:c>
      <x:c r="K278" s="5" t="n">
        <x:v>213684.28109806505</x:v>
      </x:c>
      <x:c r="L278" s="5" t="n">
        <x:v>182.0780563198619</x:v>
      </x:c>
      <x:c r="M278" s="5" t="n">
        <x:v>0.3067973232883151</x:v>
      </x:c>
      <x:c r="N278" s="5" t="n">
        <x:v>0</x:v>
      </x:c>
      <x:c r="O278" s="5" t="n">
        <x:v>0</x:v>
      </x:c>
      <x:c r="P278" s="5" t="n">
        <x:v>0</x:v>
      </x:c>
      <x:c r="Q278" s="2" t="n">
        <x:v>182.0780563198619</x:v>
      </x:c>
    </x:row>
    <x:row r="279" ht="20" customHeight="1">
      <x:c r="A279" s="2" t="n">
        <x:v>17</x:v>
      </x:c>
      <x:c r="B279" s="2" t="str">
        <x:v>low</x:v>
      </x:c>
      <x:c r="C279" s="2" t="n">
        <x:v>21</x:v>
      </x:c>
      <x:c r="D279" s="2" t="n">
        <x:v>4</x:v>
      </x:c>
      <x:c r="E279" s="5" t="n">
        <x:v>213684.28109806505</x:v>
      </x:c>
      <x:c r="F279" s="5" t="n">
        <x:v>0</x:v>
      </x:c>
      <x:c r="G279" s="5" t="n">
        <x:v>22315.8731727371</x:v>
      </x:c>
      <x:c r="H279" s="5" t="n">
        <x:v>3199.8725051396764</x:v>
      </x:c>
      <x:c r="I279" s="5" t="n">
        <x:v>359.44742208661137</x:v>
      </x:c>
      <x:c r="J279" s="5" t="n">
        <x:v>117.83142803417105</x:v>
      </x:c>
      <x:c r="K279" s="5" t="n">
        <x:v>191008.96050324134</x:v>
      </x:c>
      <x:c r="L279" s="5" t="n">
        <x:v>181.77177507340616</x:v>
      </x:c>
      <x:c r="M279" s="5" t="n">
        <x:v>0.3062812464557452</x:v>
      </x:c>
      <x:c r="N279" s="5" t="n">
        <x:v>0</x:v>
      </x:c>
      <x:c r="O279" s="5" t="n">
        <x:v>0</x:v>
      </x:c>
      <x:c r="P279" s="5" t="n">
        <x:v>0</x:v>
      </x:c>
      <x:c r="Q279" s="2" t="n">
        <x:v>181.77177507340616</x:v>
      </x:c>
    </x:row>
    <x:row r="280" ht="20" customHeight="1">
      <x:c r="A280" s="2" t="n">
        <x:v>17</x:v>
      </x:c>
      <x:c r="B280" s="2" t="str">
        <x:v>low</x:v>
      </x:c>
      <x:c r="C280" s="2" t="n">
        <x:v>22</x:v>
      </x:c>
      <x:c r="D280" s="2" t="n">
        <x:v>5</x:v>
      </x:c>
      <x:c r="E280" s="5" t="n">
        <x:v>191008.96050324134</x:v>
      </x:c>
      <x:c r="F280" s="5" t="n">
        <x:v>0</x:v>
      </x:c>
      <x:c r="G280" s="5" t="n">
        <x:v>22612.50971326478</x:v>
      </x:c>
      <x:c r="H280" s="5" t="n">
        <x:v>2860.3148430423644</x:v>
      </x:c>
      <x:c r="I280" s="5" t="n">
        <x:v>321.3043004170473</x:v>
      </x:c>
      <x:c r="J280" s="5" t="n">
        <x:v>108.61310439381894</x:v>
      </x:c>
      <x:c r="K280" s="5" t="n">
        <x:v>168075.1464895595</x:v>
      </x:c>
      <x:c r="L280" s="5" t="n">
        <x:v>181.46600903566818</x:v>
      </x:c>
      <x:c r="M280" s="5" t="n">
        <x:v>0.3057660377379759</x:v>
      </x:c>
      <x:c r="N280" s="5" t="n">
        <x:v>0</x:v>
      </x:c>
      <x:c r="O280" s="5" t="n">
        <x:v>0</x:v>
      </x:c>
      <x:c r="P280" s="5" t="n">
        <x:v>0</x:v>
      </x:c>
      <x:c r="Q280" s="2" t="n">
        <x:v>181.46600903566818</x:v>
      </x:c>
    </x:row>
    <x:row r="281" ht="20" customHeight="1">
      <x:c r="A281" s="2" t="n">
        <x:v>17</x:v>
      </x:c>
      <x:c r="B281" s="2" t="str">
        <x:v>low</x:v>
      </x:c>
      <x:c r="C281" s="2" t="n">
        <x:v>23</x:v>
      </x:c>
      <x:c r="D281" s="2" t="n">
        <x:v>6</x:v>
      </x:c>
      <x:c r="E281" s="5" t="n">
        <x:v>168075.1464895595</x:v>
      </x:c>
      <x:c r="F281" s="5" t="n">
        <x:v>0</x:v>
      </x:c>
      <x:c r="G281" s="5" t="n">
        <x:v>22913.08933217864</x:v>
      </x:c>
      <x:c r="H281" s="5" t="n">
        <x:v>2516.8863020038725</x:v>
      </x:c>
      <x:c r="I281" s="5" t="n">
        <x:v>282.7263559680188</x:v>
      </x:c>
      <x:c r="J281" s="5" t="n">
        <x:v>99.29038628721376</x:v>
      </x:c>
      <x:c r="K281" s="5" t="n">
        <x:v>144879.33080141284</x:v>
      </x:c>
      <x:c r="L281" s="5" t="n">
        <x:v>181.16075733999347</x:v>
      </x:c>
      <x:c r="M281" s="5" t="n">
        <x:v>0.30525169567471433</x:v>
      </x:c>
      <x:c r="N281" s="5" t="n">
        <x:v>0</x:v>
      </x:c>
      <x:c r="O281" s="5" t="n">
        <x:v>0</x:v>
      </x:c>
      <x:c r="P281" s="5" t="n">
        <x:v>0</x:v>
      </x:c>
      <x:c r="Q281" s="2" t="n">
        <x:v>181.16075733999347</x:v>
      </x:c>
    </x:row>
    <x:row r="282" ht="20" customHeight="1">
      <x:c r="A282" s="2" t="n">
        <x:v>17</x:v>
      </x:c>
      <x:c r="B282" s="2" t="str">
        <x:v>low</x:v>
      </x:c>
      <x:c r="C282" s="2" t="n">
        <x:v>24</x:v>
      </x:c>
      <x:c r="D282" s="2" t="n">
        <x:v>7</x:v>
      </x:c>
      <x:c r="E282" s="5" t="n">
        <x:v>144879.33080141284</x:v>
      </x:c>
      <x:c r="F282" s="5" t="n">
        <x:v>0</x:v>
      </x:c>
      <x:c r="G282" s="5" t="n">
        <x:v>23217.664443342233</x:v>
      </x:c>
      <x:c r="H282" s="5" t="n">
        <x:v>2169.5343467108905</x:v>
      </x:c>
      <x:c r="I282" s="5" t="n">
        <x:v>243.70768735348406</x:v>
      </x:c>
      <x:c r="J282" s="5" t="n">
        <x:v>89.86185552165284</x:v>
      </x:c>
      <x:c r="K282" s="5" t="n">
        <x:v>121417.95867071714</x:v>
      </x:c>
      <x:c r="L282" s="5" t="n">
        <x:v>180.85601912118534</x:v>
      </x:c>
      <x:c r="M282" s="5" t="n">
        <x:v>0.30473821880812396</x:v>
      </x:c>
      <x:c r="N282" s="5" t="n">
        <x:v>0</x:v>
      </x:c>
      <x:c r="O282" s="5" t="n">
        <x:v>0</x:v>
      </x:c>
      <x:c r="P282" s="5" t="n">
        <x:v>0</x:v>
      </x:c>
      <x:c r="Q282" s="2" t="n">
        <x:v>180.85601912118534</x:v>
      </x:c>
    </x:row>
    <x:row r="283" ht="20" customHeight="1">
      <x:c r="A283" s="2" t="n">
        <x:v>17</x:v>
      </x:c>
      <x:c r="B283" s="2" t="str">
        <x:v>low</x:v>
      </x:c>
      <x:c r="C283" s="2" t="n">
        <x:v>25</x:v>
      </x:c>
      <x:c r="D283" s="2" t="n">
        <x:v>8</x:v>
      </x:c>
      <x:c r="E283" s="5" t="n">
        <x:v>121417.95867071714</x:v>
      </x:c>
      <x:c r="F283" s="5" t="n">
        <x:v>0</x:v>
      </x:c>
      <x:c r="G283" s="5" t="n">
        <x:v>23526.28815733696</x:v>
      </x:c>
      <x:c r="H283" s="5" t="n">
        <x:v>1818.2057453365553</x:v>
      </x:c>
      <x:c r="I283" s="5" t="n">
        <x:v>204.2423149467834</x:v>
      </x:c>
      <x:c r="J283" s="5" t="n">
        <x:v>80.32607510426182</x:v>
      </x:c>
      <x:c r="K283" s="5" t="n">
        <x:v>97687.4281984334</x:v>
      </x:c>
      <x:c r="L283" s="5" t="n">
        <x:v>180.55179351550254</x:v>
      </x:c>
      <x:c r="M283" s="5" t="n">
        <x:v>0.30422560568282075</x:v>
      </x:c>
      <x:c r="N283" s="5" t="n">
        <x:v>0</x:v>
      </x:c>
      <x:c r="O283" s="5" t="n">
        <x:v>0</x:v>
      </x:c>
      <x:c r="P283" s="5" t="n">
        <x:v>0</x:v>
      </x:c>
      <x:c r="Q283" s="2" t="n">
        <x:v>180.55179351550254</x:v>
      </x:c>
    </x:row>
    <x:row r="284" ht="20" customHeight="1">
      <x:c r="A284" s="2" t="n">
        <x:v>17</x:v>
      </x:c>
      <x:c r="B284" s="2" t="str">
        <x:v>low</x:v>
      </x:c>
      <x:c r="C284" s="2" t="n">
        <x:v>26</x:v>
      </x:c>
      <x:c r="D284" s="2" t="n">
        <x:v>9</x:v>
      </x:c>
      <x:c r="E284" s="5" t="n">
        <x:v>97687.4281984334</x:v>
      </x:c>
      <x:c r="F284" s="5" t="n">
        <x:v>0</x:v>
      </x:c>
      <x:c r="G284" s="5" t="n">
        <x:v>23839.014290723284</x:v>
      </x:c>
      <x:c r="H284" s="5" t="n">
        <x:v>1462.8465602788967</x:v>
      </x:c>
      <x:c r="I284" s="5" t="n">
        <x:v>164.32417984027273</x:v>
      </x:c>
      <x:c r="J284" s="5" t="n">
        <x:v>70.6815889920047</x:v>
      </x:c>
      <x:c r="K284" s="5" t="n">
        <x:v>73684.08972786984</x:v>
      </x:c>
      <x:c r="L284" s="5" t="n">
        <x:v>180.24807966065666</x:v>
      </x:c>
      <x:c r="M284" s="5" t="n">
        <x:v>0.30371385484586877</x:v>
      </x:c>
      <x:c r="N284" s="5" t="n">
        <x:v>0</x:v>
      </x:c>
      <x:c r="O284" s="5" t="n">
        <x:v>0</x:v>
      </x:c>
      <x:c r="P284" s="5" t="n">
        <x:v>0</x:v>
      </x:c>
      <x:c r="Q284" s="2" t="n">
        <x:v>180.24807966065666</x:v>
      </x:c>
    </x:row>
    <x:row r="285" ht="20" customHeight="1">
      <x:c r="A285" s="2" t="n">
        <x:v>17</x:v>
      </x:c>
      <x:c r="B285" s="2" t="str">
        <x:v>low</x:v>
      </x:c>
      <x:c r="C285" s="2" t="n">
        <x:v>27</x:v>
      </x:c>
      <x:c r="D285" s="2" t="n">
        <x:v>10</x:v>
      </x:c>
      <x:c r="E285" s="5" t="n">
        <x:v>73684.08972786984</x:v>
      </x:c>
      <x:c r="F285" s="5" t="n">
        <x:v>0</x:v>
      </x:c>
      <x:c r="G285" s="5" t="n">
        <x:v>24155.897375425036</x:v>
      </x:c>
      <x:c r="H285" s="5" t="n">
        <x:v>1103.4021387761807</x:v>
      </x:c>
      <x:c r="I285" s="5" t="n">
        <x:v>123.94714279112786</x:v>
      </x:c>
      <x:c r="J285" s="5" t="n">
        <x:v>60.926921838371015</x:v>
      </x:c>
      <x:c r="K285" s="5" t="n">
        <x:v>49404.24520965367</x:v>
      </x:c>
      <x:c r="L285" s="5" t="n">
        <x:v>179.94487669580988</x:v>
      </x:c>
      <x:c r="M285" s="5" t="n">
        <x:v>0.30320296484677595</x:v>
      </x:c>
      <x:c r="N285" s="5" t="n">
        <x:v>0</x:v>
      </x:c>
      <x:c r="O285" s="5" t="n">
        <x:v>0</x:v>
      </x:c>
      <x:c r="P285" s="5" t="n">
        <x:v>0</x:v>
      </x:c>
      <x:c r="Q285" s="2" t="n">
        <x:v>179.94487669580988</x:v>
      </x:c>
    </x:row>
    <x:row r="286" ht="20" customHeight="1">
      <x:c r="A286" s="2" t="n">
        <x:v>17</x:v>
      </x:c>
      <x:c r="B286" s="2" t="str">
        <x:v>low</x:v>
      </x:c>
      <x:c r="C286" s="2" t="n">
        <x:v>28</x:v>
      </x:c>
      <x:c r="D286" s="2" t="n">
        <x:v>11</x:v>
      </x:c>
      <x:c r="E286" s="5" t="n">
        <x:v>49404.24520965367</x:v>
      </x:c>
      <x:c r="F286" s="5" t="n">
        <x:v>0</x:v>
      </x:c>
      <x:c r="G286" s="5" t="n">
        <x:v>24476.99266823848</x:v>
      </x:c>
      <x:c r="H286" s="5" t="n">
        <x:v>739.8171033975079</x:v>
      </x:c>
      <x:c r="I286" s="5" t="n">
        <x:v>83.10498315313674</x:v>
      </x:c>
      <x:c r="J286" s="5" t="n">
        <x:v>51.06057873669585</x:v>
      </x:c>
      <x:c r="K286" s="5" t="n">
        <x:v>24844.147558262055</x:v>
      </x:c>
      <x:c r="L286" s="5" t="n">
        <x:v>179.6421837615724</x:v>
      </x:c>
      <x:c r="M286" s="5" t="n">
        <x:v>0.3026929342374904</x:v>
      </x:c>
      <x:c r="N286" s="5" t="n">
        <x:v>0</x:v>
      </x:c>
      <x:c r="O286" s="5" t="n">
        <x:v>0</x:v>
      </x:c>
      <x:c r="P286" s="5" t="n">
        <x:v>0</x:v>
      </x:c>
      <x:c r="Q286" s="2" t="n">
        <x:v>179.6421837615724</x:v>
      </x:c>
    </x:row>
    <x:row r="287" ht="20" customHeight="1">
      <x:c r="A287" s="2" t="n">
        <x:v>17</x:v>
      </x:c>
      <x:c r="B287" s="2" t="str">
        <x:v>low</x:v>
      </x:c>
      <x:c r="C287" s="2" t="n">
        <x:v>29</x:v>
      </x:c>
      <x:c r="D287" s="2" t="n">
        <x:v>12</x:v>
      </x:c>
      <x:c r="E287" s="5" t="n">
        <x:v>24844.147558262055</x:v>
      </x:c>
      <x:c r="F287" s="5" t="n">
        <x:v>0</x:v>
      </x:c>
      <x:c r="G287" s="5" t="n">
        <x:v>24802.356160467763</x:v>
      </x:c>
      <x:c r="H287" s="5" t="n">
        <x:v>372.03534240701646</x:v>
      </x:c>
      <x:c r="I287" s="5" t="n">
        <x:v>41.79139779429261</x:v>
      </x:c>
      <x:c r="J287" s="5" t="n">
        <x:v>41.08104496006818</x:v>
      </x:c>
      <x:c r="K287" s="5" t="n">
        <x:v>0</x:v>
      </x:c>
      <x:c r="L287" s="5" t="n">
        <x:v>0</x:v>
      </x:c>
      <x:c r="M287" s="5" t="n">
        <x:v>0.3021837615723959</x:v>
      </x:c>
      <x:c r="N287" s="5" t="n">
        <x:v>0</x:v>
      </x:c>
      <x:c r="O287" s="5" t="n">
        <x:v>0</x:v>
      </x:c>
      <x:c r="P287" s="5" t="n">
        <x:v>0</x:v>
      </x:c>
      <x:c r="Q287" s="2" t="n">
        <x:v>179.34</x:v>
      </x:c>
    </x:row>
    <x:row r="288" ht="20" customHeight="1">
      <x:c r="A288" s="2" t="n">
        <x:v>17</x:v>
      </x:c>
      <x:c r="B288" s="2" t="str">
        <x:v>low</x:v>
      </x:c>
      <x:c r="C288" s="2" t="n">
        <x:v>30</x:v>
      </x:c>
      <x:c r="D288" s="2" t="n">
        <x:v>13</x:v>
      </x:c>
      <x:c r="E288" s="5" t="n">
        <x:v>0</x:v>
      </x:c>
      <x:c r="F288" s="5" t="n">
        <x:v>0</x:v>
      </x:c>
      <x:c r="G288" s="5" t="n">
        <x:v>0</x:v>
      </x:c>
      <x:c r="H288" s="5" t="n">
        <x:v>0</x:v>
      </x:c>
      <x:c r="I288" s="5" t="n">
        <x:v>0</x:v>
      </x:c>
      <x:c r="J288" s="5" t="n">
        <x:v>30.986785697781965</x:v>
      </x:c>
      <x:c r="K288" s="5" t="n">
        <x:v>0</x:v>
      </x:c>
      <x:c r="L288" s="5" t="n">
        <x:v>0</x:v>
      </x:c>
      <x:c r="M288" s="5" t="n">
        <x:v>0</x:v>
      </x:c>
      <x:c r="N288" s="5" t="n">
        <x:v>0</x:v>
      </x:c>
      <x:c r="O288" s="5" t="n">
        <x:v>0</x:v>
      </x:c>
      <x:c r="P288" s="5" t="n">
        <x:v>0</x:v>
      </x:c>
      <x:c r="Q288" s="2" t="n">
        <x:v>0</x:v>
      </x:c>
    </x:row>
    <x:row r="289" ht="20" customHeight="1">
      <x:c r="A289" s="2" t="n">
        <x:v>17</x:v>
      </x:c>
      <x:c r="B289" s="2" t="str">
        <x:v>low</x:v>
      </x:c>
      <x:c r="C289" s="2" t="n">
        <x:v>31</x:v>
      </x:c>
      <x:c r="D289" s="2" t="n">
        <x:v>14</x:v>
      </x:c>
      <x:c r="E289" s="5" t="n">
        <x:v>0</x:v>
      </x:c>
      <x:c r="F289" s="5" t="n">
        <x:v>0</x:v>
      </x:c>
      <x:c r="G289" s="5" t="n">
        <x:v>0</x:v>
      </x:c>
      <x:c r="H289" s="5" t="n">
        <x:v>0</x:v>
      </x:c>
      <x:c r="I289" s="5" t="n">
        <x:v>0</x:v>
      </x:c>
      <x:c r="J289" s="5" t="n">
        <x:v>20.776245788284186</x:v>
      </x:c>
      <x:c r="K289" s="5" t="n">
        <x:v>0</x:v>
      </x:c>
      <x:c r="L289" s="5" t="n">
        <x:v>0</x:v>
      </x:c>
      <x:c r="M289" s="5" t="n">
        <x:v>0</x:v>
      </x:c>
      <x:c r="N289" s="5" t="n">
        <x:v>0</x:v>
      </x:c>
      <x:c r="O289" s="5" t="n">
        <x:v>0</x:v>
      </x:c>
      <x:c r="P289" s="5" t="n">
        <x:v>0</x:v>
      </x:c>
      <x:c r="Q289" s="2" t="n">
        <x:v>0</x:v>
      </x:c>
    </x:row>
    <x:row r="290" ht="20" customHeight="1">
      <x:c r="A290" s="2" t="n">
        <x:v>17</x:v>
      </x:c>
      <x:c r="B290" s="2" t="str">
        <x:v>low</x:v>
      </x:c>
      <x:c r="C290" s="2" t="n">
        <x:v>32</x:v>
      </x:c>
      <x:c r="D290" s="2" t="n">
        <x:v>15</x:v>
      </x:c>
      <x:c r="E290" s="5" t="n">
        <x:v>0</x:v>
      </x:c>
      <x:c r="F290" s="5" t="n">
        <x:v>0</x:v>
      </x:c>
      <x:c r="G290" s="5" t="n">
        <x:v>0</x:v>
      </x:c>
      <x:c r="H290" s="5" t="n">
        <x:v>0</x:v>
      </x:c>
      <x:c r="I290" s="5" t="n">
        <x:v>0</x:v>
      </x:c>
      <x:c r="J290" s="5" t="n">
        <x:v>10.447849448573152</x:v>
      </x:c>
      <x:c r="K290" s="5" t="n">
        <x:v>0</x:v>
      </x:c>
      <x:c r="L290" s="5" t="n">
        <x:v>0</x:v>
      </x:c>
      <x:c r="M290" s="5" t="n">
        <x:v>0</x:v>
      </x:c>
      <x:c r="N290" s="5" t="n">
        <x:v>0</x:v>
      </x:c>
      <x:c r="O290" s="5" t="n">
        <x:v>0</x:v>
      </x:c>
      <x:c r="P290" s="5" t="n">
        <x:v>0</x:v>
      </x:c>
      <x:c r="Q290" s="2" t="n">
        <x:v>0</x:v>
      </x:c>
    </x:row>
    <x:row r="291" ht="20" customHeight="1">
      <x:c r="A291" s="2" t="n">
        <x:v>18</x:v>
      </x:c>
      <x:c r="B291" s="2" t="str">
        <x:v>low</x:v>
      </x:c>
      <x:c r="C291" s="2" t="n">
        <x:v>18</x:v>
      </x:c>
      <x:c r="D291" s="2" t="n">
        <x:v>0</x:v>
      </x:c>
      <x:c r="E291" s="5" t="n">
        <x:v>0</x:v>
      </x:c>
      <x:c r="F291" s="5" t="n">
        <x:v>269582.21</x:v>
      </x:c>
      <x:c r="G291" s="5" t="n">
        <x:v>0</x:v>
      </x:c>
      <x:c r="H291" s="5" t="n">
        <x:v>0</x:v>
      </x:c>
      <x:c r="I291" s="5" t="n">
        <x:v>0</x:v>
      </x:c>
      <x:c r="J291" s="5" t="n">
        <x:v>0</x:v>
      </x:c>
      <x:c r="K291" s="5" t="n">
        <x:v>269582.21</x:v>
      </x:c>
      <x:c r="L291" s="5" t="n">
        <x:v>186</x:v>
      </x:c>
      <x:c r="M291" s="5" t="n">
        <x:v>0</x:v>
      </x:c>
      <x:c r="N291" s="5" t="n">
        <x:v>186</x:v>
      </x:c>
      <x:c r="O291" s="5" t="n">
        <x:v>5391.6442</x:v>
      </x:c>
      <x:c r="P291" s="5" t="n">
        <x:v>4650</x:v>
      </x:c>
      <x:c r="Q291" s="2" t="n">
        <x:v>0</x:v>
      </x:c>
    </x:row>
    <x:row r="292" ht="20" customHeight="1">
      <x:c r="A292" s="2" t="n">
        <x:v>18</x:v>
      </x:c>
      <x:c r="B292" s="2" t="str">
        <x:v>low</x:v>
      </x:c>
      <x:c r="C292" s="2" t="n">
        <x:v>19</x:v>
      </x:c>
      <x:c r="D292" s="2" t="n">
        <x:v>1</x:v>
      </x:c>
      <x:c r="E292" s="5" t="n">
        <x:v>269582.21</x:v>
      </x:c>
      <x:c r="F292" s="5" t="n">
        <x:v>0</x:v>
      </x:c>
      <x:c r="G292" s="5" t="n">
        <x:v>20636.789436457086</x:v>
      </x:c>
      <x:c r="H292" s="5" t="n">
        <x:v>4036.9310143964617</x:v>
      </x:c>
      <x:c r="I292" s="5" t="n">
        <x:v>453.47570690256526</x:v>
      </x:c>
      <x:c r="J292" s="5" t="n">
        <x:v>0</x:v>
      </x:c>
      <x:c r="K292" s="5" t="n">
        <x:v>248491.94485664036</x:v>
      </x:c>
      <x:c r="L292" s="5" t="n">
        <x:v>185.68712148519046</x:v>
      </x:c>
      <x:c r="M292" s="5" t="n">
        <x:v>0.3128785148095534</x:v>
      </x:c>
      <x:c r="N292" s="5" t="n">
        <x:v>0</x:v>
      </x:c>
      <x:c r="O292" s="5" t="n">
        <x:v>0</x:v>
      </x:c>
      <x:c r="P292" s="5" t="n">
        <x:v>0</x:v>
      </x:c>
      <x:c r="Q292" s="2" t="n">
        <x:v>185.68712148519046</x:v>
      </x:c>
    </x:row>
    <x:row r="293" ht="20" customHeight="1">
      <x:c r="A293" s="2" t="n">
        <x:v>18</x:v>
      </x:c>
      <x:c r="B293" s="2" t="str">
        <x:v>low</x:v>
      </x:c>
      <x:c r="C293" s="2" t="n">
        <x:v>20</x:v>
      </x:c>
      <x:c r="D293" s="2" t="n">
        <x:v>2</x:v>
      </x:c>
      <x:c r="E293" s="5" t="n">
        <x:v>248491.94485664036</x:v>
      </x:c>
      <x:c r="F293" s="5" t="n">
        <x:v>0</x:v>
      </x:c>
      <x:c r="G293" s="5" t="n">
        <x:v>20911.106546016006</x:v>
      </x:c>
      <x:c r="H293" s="5" t="n">
        <x:v>3721.1091897327597</x:v>
      </x:c>
      <x:c r="I293" s="5" t="n">
        <x:v>417.9988744563606</x:v>
      </x:c>
      <x:c r="J293" s="5" t="n">
        <x:v>0</x:v>
      </x:c>
      <x:c r="K293" s="5" t="n">
        <x:v>227162.839436168</x:v>
      </x:c>
      <x:c r="L293" s="5" t="n">
        <x:v>185.37476927664449</x:v>
      </x:c>
      <x:c r="M293" s="5" t="n">
        <x:v>0.3123522085459543</x:v>
      </x:c>
      <x:c r="N293" s="5" t="n">
        <x:v>0</x:v>
      </x:c>
      <x:c r="O293" s="5" t="n">
        <x:v>0</x:v>
      </x:c>
      <x:c r="P293" s="5" t="n">
        <x:v>0</x:v>
      </x:c>
      <x:c r="Q293" s="2" t="n">
        <x:v>185.37476927664449</x:v>
      </x:c>
    </x:row>
    <x:row r="294" ht="20" customHeight="1">
      <x:c r="A294" s="2" t="n">
        <x:v>18</x:v>
      </x:c>
      <x:c r="B294" s="2" t="str">
        <x:v>low</x:v>
      </x:c>
      <x:c r="C294" s="2" t="n">
        <x:v>21</x:v>
      </x:c>
      <x:c r="D294" s="2" t="n">
        <x:v>3</x:v>
      </x:c>
      <x:c r="E294" s="5" t="n">
        <x:v>227162.839436168</x:v>
      </x:c>
      <x:c r="F294" s="5" t="n">
        <x:v>0</x:v>
      </x:c>
      <x:c r="G294" s="5" t="n">
        <x:v>21189.070050128135</x:v>
      </x:c>
      <x:c r="H294" s="5" t="n">
        <x:v>3401.710787363269</x:v>
      </x:c>
      <x:c r="I294" s="5" t="n">
        <x:v>382.1202786167166</x:v>
      </x:c>
      <x:c r="J294" s="5" t="n">
        <x:v>0</x:v>
      </x:c>
      <x:c r="K294" s="5" t="n">
        <x:v>205591.64910742315</x:v>
      </x:c>
      <x:c r="L294" s="5" t="n">
        <x:v>185.06294248903998</x:v>
      </x:c>
      <x:c r="M294" s="5" t="n">
        <x:v>0.311826787604517</x:v>
      </x:c>
      <x:c r="N294" s="5" t="n">
        <x:v>0</x:v>
      </x:c>
      <x:c r="O294" s="5" t="n">
        <x:v>0</x:v>
      </x:c>
      <x:c r="P294" s="5" t="n">
        <x:v>0</x:v>
      </x:c>
      <x:c r="Q294" s="2" t="n">
        <x:v>185.06294248903998</x:v>
      </x:c>
    </x:row>
    <x:row r="295" ht="20" customHeight="1">
      <x:c r="A295" s="2" t="n">
        <x:v>18</x:v>
      </x:c>
      <x:c r="B295" s="2" t="str">
        <x:v>low</x:v>
      </x:c>
      <x:c r="C295" s="2" t="n">
        <x:v>22</x:v>
      </x:c>
      <x:c r="D295" s="2" t="n">
        <x:v>4</x:v>
      </x:c>
      <x:c r="E295" s="5" t="n">
        <x:v>205591.64910742315</x:v>
      </x:c>
      <x:c r="F295" s="5" t="n">
        <x:v>0</x:v>
      </x:c>
      <x:c r="G295" s="5" t="n">
        <x:v>21470.72841894999</x:v>
      </x:c>
      <x:c r="H295" s="5" t="n">
        <x:v>3078.6872196895747</x:v>
      </x:c>
      <x:c r="I295" s="5" t="n">
        <x:v>345.8344614514914</x:v>
      </x:c>
      <x:c r="J295" s="5" t="n">
        <x:v>113.36892672564132</x:v>
      </x:c>
      <x:c r="K295" s="5" t="n">
        <x:v>183775.08622702165</x:v>
      </x:c>
      <x:c r="L295" s="5" t="n">
        <x:v>184.75164023854398</x:v>
      </x:c>
      <x:c r="M295" s="5" t="n">
        <x:v>0.31130225049600335</x:v>
      </x:c>
      <x:c r="N295" s="5" t="n">
        <x:v>0</x:v>
      </x:c>
      <x:c r="O295" s="5" t="n">
        <x:v>0</x:v>
      </x:c>
      <x:c r="P295" s="5" t="n">
        <x:v>0</x:v>
      </x:c>
      <x:c r="Q295" s="2" t="n">
        <x:v>184.75164023854398</x:v>
      </x:c>
    </x:row>
    <x:row r="296" ht="20" customHeight="1">
      <x:c r="A296" s="2" t="n">
        <x:v>18</x:v>
      </x:c>
      <x:c r="B296" s="2" t="str">
        <x:v>low</x:v>
      </x:c>
      <x:c r="C296" s="2" t="n">
        <x:v>23</x:v>
      </x:c>
      <x:c r="D296" s="2" t="n">
        <x:v>5</x:v>
      </x:c>
      <x:c r="E296" s="5" t="n">
        <x:v>183775.08622702165</x:v>
      </x:c>
      <x:c r="F296" s="5" t="n">
        <x:v>0</x:v>
      </x:c>
      <x:c r="G296" s="5" t="n">
        <x:v>21756.130766933733</x:v>
      </x:c>
      <x:c r="H296" s="5" t="n">
        <x:v>2751.989255015187</x:v>
      </x:c>
      <x:c r="I296" s="5" t="n">
        <x:v>309.13589267585024</x:v>
      </x:c>
      <x:c r="J296" s="5" t="n">
        <x:v>104.49971861409016</x:v>
      </x:c>
      <x:c r="K296" s="5" t="n">
        <x:v>161709.81956741205</x:v>
      </x:c>
      <x:c r="L296" s="5" t="n">
        <x:v>184.4408616428103</x:v>
      </x:c>
      <x:c r="M296" s="5" t="n">
        <x:v>0.31077859573368044</x:v>
      </x:c>
      <x:c r="N296" s="5" t="n">
        <x:v>0</x:v>
      </x:c>
      <x:c r="O296" s="5" t="n">
        <x:v>0</x:v>
      </x:c>
      <x:c r="P296" s="5" t="n">
        <x:v>0</x:v>
      </x:c>
      <x:c r="Q296" s="2" t="n">
        <x:v>184.4408616428103</x:v>
      </x:c>
    </x:row>
    <x:row r="297" ht="20" customHeight="1">
      <x:c r="A297" s="2" t="n">
        <x:v>18</x:v>
      </x:c>
      <x:c r="B297" s="2" t="str">
        <x:v>low</x:v>
      </x:c>
      <x:c r="C297" s="2" t="n">
        <x:v>24</x:v>
      </x:c>
      <x:c r="D297" s="2" t="n">
        <x:v>6</x:v>
      </x:c>
      <x:c r="E297" s="5" t="n">
        <x:v>161709.81956741205</x:v>
      </x:c>
      <x:c r="F297" s="5" t="n">
        <x:v>0</x:v>
      </x:c>
      <x:c r="G297" s="5" t="n">
        <x:v>22045.326861391524</x:v>
      </x:c>
      <x:c r="H297" s="5" t="n">
        <x:v>2421.567008980828</x:v>
      </x:c>
      <x:c r="I297" s="5" t="n">
        <x:v>272.01896869017605</x:v>
      </x:c>
      <x:c r="J297" s="5" t="n">
        <x:v>95.53006965417914</x:v>
      </x:c>
      <x:c r="K297" s="5" t="n">
        <x:v>139392.47373733035</x:v>
      </x:c>
      <x:c r="L297" s="5" t="n">
        <x:v>184.13060582097697</x:v>
      </x:c>
      <x:c r="M297" s="5" t="n">
        <x:v>0.3102558218333162</x:v>
      </x:c>
      <x:c r="N297" s="5" t="n">
        <x:v>0</x:v>
      </x:c>
      <x:c r="O297" s="5" t="n">
        <x:v>0</x:v>
      </x:c>
      <x:c r="P297" s="5" t="n">
        <x:v>0</x:v>
      </x:c>
      <x:c r="Q297" s="2" t="n">
        <x:v>184.13060582097697</x:v>
      </x:c>
    </x:row>
    <x:row r="298" ht="20" customHeight="1">
      <x:c r="A298" s="2" t="n">
        <x:v>18</x:v>
      </x:c>
      <x:c r="B298" s="2" t="str">
        <x:v>low</x:v>
      </x:c>
      <x:c r="C298" s="2" t="n">
        <x:v>25</x:v>
      </x:c>
      <x:c r="D298" s="2" t="n">
        <x:v>7</x:v>
      </x:c>
      <x:c r="E298" s="5" t="n">
        <x:v>139392.47373733035</x:v>
      </x:c>
      <x:c r="F298" s="5" t="n">
        <x:v>0</x:v>
      </x:c>
      <x:c r="G298" s="5" t="n">
        <x:v>22338.36713117376</x:v>
      </x:c>
      <x:c r="H298" s="5" t="n">
        <x:v>2087.3699358858776</x:v>
      </x:c>
      <x:c r="I298" s="5" t="n">
        <x:v>234.4780116051914</x:v>
      </x:c>
      <x:c r="J298" s="5" t="n">
        <x:v>86.45861536287285</x:v>
      </x:c>
      <x:c r="K298" s="5" t="n">
        <x:v>116819.62859455141</x:v>
      </x:c>
      <x:c r="L298" s="5" t="n">
        <x:v>183.8208718936638</x:v>
      </x:c>
      <x:c r="M298" s="5" t="n">
        <x:v>0.3097339273131752</x:v>
      </x:c>
      <x:c r="N298" s="5" t="n">
        <x:v>0</x:v>
      </x:c>
      <x:c r="O298" s="5" t="n">
        <x:v>0</x:v>
      </x:c>
      <x:c r="P298" s="5" t="n">
        <x:v>0</x:v>
      </x:c>
      <x:c r="Q298" s="2" t="n">
        <x:v>183.8208718936638</x:v>
      </x:c>
    </x:row>
    <x:row r="299" ht="20" customHeight="1">
      <x:c r="A299" s="2" t="n">
        <x:v>18</x:v>
      </x:c>
      <x:c r="B299" s="2" t="str">
        <x:v>low</x:v>
      </x:c>
      <x:c r="C299" s="2" t="n">
        <x:v>26</x:v>
      </x:c>
      <x:c r="D299" s="2" t="n">
        <x:v>8</x:v>
      </x:c>
      <x:c r="E299" s="5" t="n">
        <x:v>116819.62859455141</x:v>
      </x:c>
      <x:c r="F299" s="5" t="n">
        <x:v>0</x:v>
      </x:c>
      <x:c r="G299" s="5" t="n">
        <x:v>22635.30267546265</x:v>
      </x:c>
      <x:c r="H299" s="5" t="n">
        <x:v>1749.3468198944593</x:v>
      </x:c>
      <x:c r="I299" s="5" t="n">
        <x:v>196.507268254123</x:v>
      </x:c>
      <x:c r="J299" s="5" t="n">
        <x:v>77.28397316896256</x:v>
      </x:c>
      <x:c r="K299" s="5" t="n">
        <x:v>93987.81865083464</x:v>
      </x:c>
      <x:c r="L299" s="5" t="n">
        <x:v>183.51165898296978</x:v>
      </x:c>
      <x:c r="M299" s="5" t="n">
        <x:v>0.3092129106940146</x:v>
      </x:c>
      <x:c r="N299" s="5" t="n">
        <x:v>0</x:v>
      </x:c>
      <x:c r="O299" s="5" t="n">
        <x:v>0</x:v>
      </x:c>
      <x:c r="P299" s="5" t="n">
        <x:v>0</x:v>
      </x:c>
      <x:c r="Q299" s="2" t="n">
        <x:v>183.51165898296978</x:v>
      </x:c>
    </x:row>
    <x:row r="300" ht="20" customHeight="1">
      <x:c r="A300" s="2" t="n">
        <x:v>18</x:v>
      </x:c>
      <x:c r="B300" s="2" t="str">
        <x:v>low</x:v>
      </x:c>
      <x:c r="C300" s="2" t="n">
        <x:v>27</x:v>
      </x:c>
      <x:c r="D300" s="2" t="n">
        <x:v>9</x:v>
      </x:c>
      <x:c r="E300" s="5" t="n">
        <x:v>93987.81865083464</x:v>
      </x:c>
      <x:c r="F300" s="5" t="n">
        <x:v>0</x:v>
      </x:c>
      <x:c r="G300" s="5" t="n">
        <x:v>22936.185272682687</x:v>
      </x:c>
      <x:c r="H300" s="5" t="n">
        <x:v>1407.4457661246436</x:v>
      </x:c>
      <x:c r="I300" s="5" t="n">
        <x:v>158.1009091917354</x:v>
      </x:c>
      <x:c r="J300" s="5" t="n">
        <x:v>68.00474217254401</x:v>
      </x:c>
      <x:c r="K300" s="5" t="n">
        <x:v>70893.53246896021</x:v>
      </x:c>
      <x:c r="L300" s="5" t="n">
        <x:v>183.2029662124707</x:v>
      </x:c>
      <x:c r="M300" s="5" t="n">
        <x:v>0.3086927704990797</x:v>
      </x:c>
      <x:c r="N300" s="5" t="n">
        <x:v>0</x:v>
      </x:c>
      <x:c r="O300" s="5" t="n">
        <x:v>0</x:v>
      </x:c>
      <x:c r="P300" s="5" t="n">
        <x:v>0</x:v>
      </x:c>
      <x:c r="Q300" s="2" t="n">
        <x:v>183.2029662124707</x:v>
      </x:c>
    </x:row>
    <x:row r="301" ht="20" customHeight="1">
      <x:c r="A301" s="2" t="n">
        <x:v>18</x:v>
      </x:c>
      <x:c r="B301" s="2" t="str">
        <x:v>low</x:v>
      </x:c>
      <x:c r="C301" s="2" t="n">
        <x:v>28</x:v>
      </x:c>
      <x:c r="D301" s="2" t="n">
        <x:v>10</x:v>
      </x:c>
      <x:c r="E301" s="5" t="n">
        <x:v>70893.53246896021</x:v>
      </x:c>
      <x:c r="F301" s="5" t="n">
        <x:v>0</x:v>
      </x:c>
      <x:c r="G301" s="5" t="n">
        <x:v>23241.06738952956</x:v>
      </x:c>
      <x:c r="H301" s="5" t="n">
        <x:v>1061.6141916192023</x:v>
      </x:c>
      <x:c r="I301" s="5" t="n">
        <x:v>119.2530276800598</x:v>
      </x:c>
      <x:c r="J301" s="5" t="n">
        <x:v>58.61950290129785</x:v>
      </x:c>
      <x:c r="K301" s="5" t="n">
        <x:v>47533.2120517506</x:v>
      </x:c>
      <x:c r="L301" s="5" t="n">
        <x:v>182.8947927072166</x:v>
      </x:c>
      <x:c r="M301" s="5" t="n">
        <x:v>0.30817350525410014</x:v>
      </x:c>
      <x:c r="N301" s="5" t="n">
        <x:v>0</x:v>
      </x:c>
      <x:c r="O301" s="5" t="n">
        <x:v>0</x:v>
      </x:c>
      <x:c r="P301" s="5" t="n">
        <x:v>0</x:v>
      </x:c>
      <x:c r="Q301" s="2" t="n">
        <x:v>182.8947927072166</x:v>
      </x:c>
    </x:row>
    <x:row r="302" ht="20" customHeight="1">
      <x:c r="A302" s="2" t="n">
        <x:v>18</x:v>
      </x:c>
      <x:c r="B302" s="2" t="str">
        <x:v>low</x:v>
      </x:c>
      <x:c r="C302" s="2" t="n">
        <x:v>29</x:v>
      </x:c>
      <x:c r="D302" s="2" t="n">
        <x:v>11</x:v>
      </x:c>
      <x:c r="E302" s="5" t="n">
        <x:v>47533.2120517506</x:v>
      </x:c>
      <x:c r="F302" s="5" t="n">
        <x:v>0</x:v>
      </x:c>
      <x:c r="G302" s="5" t="n">
        <x:v>23550.002190119085</x:v>
      </x:c>
      <x:c r="H302" s="5" t="n">
        <x:v>711.7988161963493</x:v>
      </x:c>
      <x:c r="I302" s="5" t="n">
        <x:v>79.95763866064135</x:v>
      </x:c>
      <x:c r="J302" s="5" t="n">
        <x:v>49.12681706353075</x:v>
      </x:c>
      <x:c r="K302" s="5" t="n">
        <x:v>23903.25222297087</x:v>
      </x:c>
      <x:c r="L302" s="5" t="n">
        <x:v>182.58713759372932</x:v>
      </x:c>
      <x:c r="M302" s="5" t="n">
        <x:v>0.3076551134872853</x:v>
      </x:c>
      <x:c r="N302" s="5" t="n">
        <x:v>0</x:v>
      </x:c>
      <x:c r="O302" s="5" t="n">
        <x:v>0</x:v>
      </x:c>
      <x:c r="P302" s="5" t="n">
        <x:v>0</x:v>
      </x:c>
      <x:c r="Q302" s="2" t="n">
        <x:v>182.58713759372932</x:v>
      </x:c>
    </x:row>
    <x:row r="303" ht="20" customHeight="1">
      <x:c r="A303" s="2" t="n">
        <x:v>18</x:v>
      </x:c>
      <x:c r="B303" s="2" t="str">
        <x:v>low</x:v>
      </x:c>
      <x:c r="C303" s="2" t="n">
        <x:v>30</x:v>
      </x:c>
      <x:c r="D303" s="2" t="n">
        <x:v>12</x:v>
      </x:c>
      <x:c r="E303" s="5" t="n">
        <x:v>23903.25222297087</x:v>
      </x:c>
      <x:c r="F303" s="5" t="n">
        <x:v>0</x:v>
      </x:c>
      <x:c r="G303" s="5" t="n">
        <x:v>23863.043545257744</x:v>
      </x:c>
      <x:c r="H303" s="5" t="n">
        <x:v>357.94565317886617</x:v>
      </x:c>
      <x:c r="I303" s="5" t="n">
        <x:v>40.20867771312517</x:v>
      </x:c>
      <x:c r="J303" s="5" t="n">
        <x:v>39.52522729793385</x:v>
      </x:c>
      <x:c r="K303" s="5" t="n">
        <x:v>0</x:v>
      </x:c>
      <x:c r="L303" s="5" t="n">
        <x:v>0</x:v>
      </x:c>
      <x:c r="M303" s="5" t="n">
        <x:v>0.3071375937293204</x:v>
      </x:c>
      <x:c r="N303" s="5" t="n">
        <x:v>0</x:v>
      </x:c>
      <x:c r="O303" s="5" t="n">
        <x:v>0</x:v>
      </x:c>
      <x:c r="P303" s="5" t="n">
        <x:v>0</x:v>
      </x:c>
      <x:c r="Q303" s="2" t="n">
        <x:v>182.28</x:v>
      </x:c>
    </x:row>
    <x:row r="304" ht="20" customHeight="1">
      <x:c r="A304" s="2" t="n">
        <x:v>18</x:v>
      </x:c>
      <x:c r="B304" s="2" t="str">
        <x:v>low</x:v>
      </x:c>
      <x:c r="C304" s="2" t="n">
        <x:v>31</x:v>
      </x:c>
      <x:c r="D304" s="2" t="n">
        <x:v>13</x:v>
      </x:c>
      <x:c r="E304" s="5" t="n">
        <x:v>0</x:v>
      </x:c>
      <x:c r="F304" s="5" t="n">
        <x:v>0</x:v>
      </x:c>
      <x:c r="G304" s="5" t="n">
        <x:v>0</x:v>
      </x:c>
      <x:c r="H304" s="5" t="n">
        <x:v>0</x:v>
      </x:c>
      <x:c r="I304" s="5" t="n">
        <x:v>0</x:v>
      </x:c>
      <x:c r="J304" s="5" t="n">
        <x:v>29.81325692001495</x:v>
      </x:c>
      <x:c r="K304" s="5" t="n">
        <x:v>0</x:v>
      </x:c>
      <x:c r="L304" s="5" t="n">
        <x:v>0</x:v>
      </x:c>
      <x:c r="M304" s="5" t="n">
        <x:v>0</x:v>
      </x:c>
      <x:c r="N304" s="5" t="n">
        <x:v>0</x:v>
      </x:c>
      <x:c r="O304" s="5" t="n">
        <x:v>0</x:v>
      </x:c>
      <x:c r="P304" s="5" t="n">
        <x:v>0</x:v>
      </x:c>
      <x:c r="Q304" s="2" t="n">
        <x:v>0</x:v>
      </x:c>
    </x:row>
    <x:row r="305" ht="20" customHeight="1">
      <x:c r="A305" s="2" t="n">
        <x:v>18</x:v>
      </x:c>
      <x:c r="B305" s="2" t="str">
        <x:v>low</x:v>
      </x:c>
      <x:c r="C305" s="2" t="n">
        <x:v>32</x:v>
      </x:c>
      <x:c r="D305" s="2" t="n">
        <x:v>14</x:v>
      </x:c>
      <x:c r="E305" s="5" t="n">
        <x:v>0</x:v>
      </x:c>
      <x:c r="F305" s="5" t="n">
        <x:v>0</x:v>
      </x:c>
      <x:c r="G305" s="5" t="n">
        <x:v>0</x:v>
      </x:c>
      <x:c r="H305" s="5" t="n">
        <x:v>0</x:v>
      </x:c>
      <x:c r="I305" s="5" t="n">
        <x:v>0</x:v>
      </x:c>
      <x:c r="J305" s="5" t="n">
        <x:v>19.989409665160338</x:v>
      </x:c>
      <x:c r="K305" s="5" t="n">
        <x:v>0</x:v>
      </x:c>
      <x:c r="L305" s="5" t="n">
        <x:v>0</x:v>
      </x:c>
      <x:c r="M305" s="5" t="n">
        <x:v>0</x:v>
      </x:c>
      <x:c r="N305" s="5" t="n">
        <x:v>0</x:v>
      </x:c>
      <x:c r="O305" s="5" t="n">
        <x:v>0</x:v>
      </x:c>
      <x:c r="P305" s="5" t="n">
        <x:v>0</x:v>
      </x:c>
      <x:c r="Q305" s="2" t="n">
        <x:v>0</x:v>
      </x:c>
    </x:row>
    <x:row r="306" ht="20" customHeight="1">
      <x:c r="A306" s="2" t="n">
        <x:v>18</x:v>
      </x:c>
      <x:c r="B306" s="2" t="str">
        <x:v>low</x:v>
      </x:c>
      <x:c r="C306" s="2" t="n">
        <x:v>33</x:v>
      </x:c>
      <x:c r="D306" s="2" t="n">
        <x:v>15</x:v>
      </x:c>
      <x:c r="E306" s="5" t="n">
        <x:v>0</x:v>
      </x:c>
      <x:c r="F306" s="5" t="n">
        <x:v>0</x:v>
      </x:c>
      <x:c r="G306" s="5" t="n">
        <x:v>0</x:v>
      </x:c>
      <x:c r="H306" s="5" t="n">
        <x:v>0</x:v>
      </x:c>
      <x:c r="I306" s="5" t="n">
        <x:v>0</x:v>
      </x:c>
      <x:c r="J306" s="5" t="n">
        <x:v>10.052169428281292</x:v>
      </x:c>
      <x:c r="K306" s="5" t="n">
        <x:v>0</x:v>
      </x:c>
      <x:c r="L306" s="5" t="n">
        <x:v>0</x:v>
      </x:c>
      <x:c r="M306" s="5" t="n">
        <x:v>0</x:v>
      </x:c>
      <x:c r="N306" s="5" t="n">
        <x:v>0</x:v>
      </x:c>
      <x:c r="O306" s="5" t="n">
        <x:v>0</x:v>
      </x:c>
      <x:c r="P306" s="5" t="n">
        <x:v>0</x:v>
      </x:c>
      <x:c r="Q306" s="2" t="n">
        <x:v>0</x:v>
      </x:c>
    </x:row>
    <x:row r="307" ht="20" customHeight="1">
      <x:c r="A307" s="2" t="n">
        <x:v>19</x:v>
      </x:c>
      <x:c r="B307" s="2" t="str">
        <x:v>low</x:v>
      </x:c>
      <x:c r="C307" s="2" t="n">
        <x:v>19</x:v>
      </x:c>
      <x:c r="D307" s="2" t="n">
        <x:v>0</x:v>
      </x:c>
      <x:c r="E307" s="5" t="n">
        <x:v>0</x:v>
      </x:c>
      <x:c r="F307" s="5" t="n">
        <x:v>286444.96</x:v>
      </x:c>
      <x:c r="G307" s="5" t="n">
        <x:v>0</x:v>
      </x:c>
      <x:c r="H307" s="5" t="n">
        <x:v>0</x:v>
      </x:c>
      <x:c r="I307" s="5" t="n">
        <x:v>0</x:v>
      </x:c>
      <x:c r="J307" s="5" t="n">
        <x:v>0</x:v>
      </x:c>
      <x:c r="K307" s="5" t="n">
        <x:v>286444.96</x:v>
      </x:c>
      <x:c r="L307" s="5" t="n">
        <x:v>195</x:v>
      </x:c>
      <x:c r="M307" s="5" t="n">
        <x:v>0</x:v>
      </x:c>
      <x:c r="N307" s="5" t="n">
        <x:v>195</x:v>
      </x:c>
      <x:c r="O307" s="5" t="n">
        <x:v>5728.8992</x:v>
      </x:c>
      <x:c r="P307" s="5" t="n">
        <x:v>4875</x:v>
      </x:c>
      <x:c r="Q307" s="2" t="n">
        <x:v>0</x:v>
      </x:c>
    </x:row>
    <x:row r="308" ht="20" customHeight="1">
      <x:c r="A308" s="2" t="n">
        <x:v>19</x:v>
      </x:c>
      <x:c r="B308" s="2" t="str">
        <x:v>low</x:v>
      </x:c>
      <x:c r="C308" s="2" t="n">
        <x:v>20</x:v>
      </x:c>
      <x:c r="D308" s="2" t="n">
        <x:v>1</x:v>
      </x:c>
      <x:c r="E308" s="5" t="n">
        <x:v>286444.96</x:v>
      </x:c>
      <x:c r="F308" s="5" t="n">
        <x:v>0</x:v>
      </x:c>
      <x:c r="G308" s="5" t="n">
        <x:v>21927.649916715098</x:v>
      </x:c>
      <x:c r="H308" s="5" t="n">
        <x:v>4289.446781156494</x:v>
      </x:c>
      <x:c r="I308" s="5" t="n">
        <x:v>481.84125623377383</x:v>
      </x:c>
      <x:c r="J308" s="5" t="n">
        <x:v>0</x:v>
      </x:c>
      <x:c r="K308" s="5" t="n">
        <x:v>264035.4688270511</x:v>
      </x:c>
      <x:c r="L308" s="5" t="n">
        <x:v>194.6719822022158</x:v>
      </x:c>
      <x:c r="M308" s="5" t="n">
        <x:v>0.3280177977842092</x:v>
      </x:c>
      <x:c r="N308" s="5" t="n">
        <x:v>0</x:v>
      </x:c>
      <x:c r="O308" s="5" t="n">
        <x:v>0</x:v>
      </x:c>
      <x:c r="P308" s="5" t="n">
        <x:v>0</x:v>
      </x:c>
      <x:c r="Q308" s="2" t="n">
        <x:v>194.6719822022158</x:v>
      </x:c>
    </x:row>
    <x:row r="309" ht="20" customHeight="1">
      <x:c r="A309" s="2" t="n">
        <x:v>19</x:v>
      </x:c>
      <x:c r="B309" s="2" t="str">
        <x:v>low</x:v>
      </x:c>
      <x:c r="C309" s="2" t="n">
        <x:v>21</x:v>
      </x:c>
      <x:c r="D309" s="2" t="n">
        <x:v>2</x:v>
      </x:c>
      <x:c r="E309" s="5" t="n">
        <x:v>264035.4688270511</x:v>
      </x:c>
      <x:c r="F309" s="5" t="n">
        <x:v>0</x:v>
      </x:c>
      <x:c r="G309" s="5" t="n">
        <x:v>22219.125950964248</x:v>
      </x:c>
      <x:c r="H309" s="5" t="n">
        <x:v>3953.869852942569</x:v>
      </x:c>
      <x:c r="I309" s="5" t="n">
        <x:v>444.14529754651556</x:v>
      </x:c>
      <x:c r="J309" s="5" t="n">
        <x:v>0</x:v>
      </x:c>
      <x:c r="K309" s="5" t="n">
        <x:v>241372.19757854036</x:v>
      </x:c>
      <x:c r="L309" s="5" t="n">
        <x:v>194.3445161771273</x:v>
      </x:c>
      <x:c r="M309" s="5" t="n">
        <x:v>0.3274660250885005</x:v>
      </x:c>
      <x:c r="N309" s="5" t="n">
        <x:v>0</x:v>
      </x:c>
      <x:c r="O309" s="5" t="n">
        <x:v>0</x:v>
      </x:c>
      <x:c r="P309" s="5" t="n">
        <x:v>0</x:v>
      </x:c>
      <x:c r="Q309" s="2" t="n">
        <x:v>194.3445161771273</x:v>
      </x:c>
    </x:row>
    <x:row r="310" ht="20" customHeight="1">
      <x:c r="A310" s="2" t="n">
        <x:v>19</x:v>
      </x:c>
      <x:c r="B310" s="2" t="str">
        <x:v>low</x:v>
      </x:c>
      <x:c r="C310" s="2" t="n">
        <x:v>22</x:v>
      </x:c>
      <x:c r="D310" s="2" t="n">
        <x:v>3</x:v>
      </x:c>
      <x:c r="E310" s="5" t="n">
        <x:v>241372.19757854036</x:v>
      </x:c>
      <x:c r="F310" s="5" t="n">
        <x:v>0</x:v>
      </x:c>
      <x:c r="G310" s="5" t="n">
        <x:v>22514.47646692321</x:v>
      </x:c>
      <x:c r="H310" s="5" t="n">
        <x:v>3614.4926270091787</x:v>
      </x:c>
      <x:c r="I310" s="5" t="n">
        <x:v>406.0224445951172</x:v>
      </x:c>
      <x:c r="J310" s="5" t="n">
        <x:v>0</x:v>
      </x:c>
      <x:c r="K310" s="5" t="n">
        <x:v>218451.69866702205</x:v>
      </x:c>
      <x:c r="L310" s="5" t="n">
        <x:v>194.01760099657417</x:v>
      </x:c>
      <x:c r="M310" s="5" t="n">
        <x:v>0.32691518055312263</x:v>
      </x:c>
      <x:c r="N310" s="5" t="n">
        <x:v>0</x:v>
      </x:c>
      <x:c r="O310" s="5" t="n">
        <x:v>0</x:v>
      </x:c>
      <x:c r="P310" s="5" t="n">
        <x:v>0</x:v>
      </x:c>
      <x:c r="Q310" s="2" t="n">
        <x:v>194.01760099657417</x:v>
      </x:c>
    </x:row>
    <x:row r="311" ht="20" customHeight="1">
      <x:c r="A311" s="2" t="n">
        <x:v>19</x:v>
      </x:c>
      <x:c r="B311" s="2" t="str">
        <x:v>low</x:v>
      </x:c>
      <x:c r="C311" s="2" t="n">
        <x:v>23</x:v>
      </x:c>
      <x:c r="D311" s="2" t="n">
        <x:v>4</x:v>
      </x:c>
      <x:c r="E311" s="5" t="n">
        <x:v>218451.69866702205</x:v>
      </x:c>
      <x:c r="F311" s="5" t="n">
        <x:v>0</x:v>
      </x:c>
      <x:c r="G311" s="5" t="n">
        <x:v>22813.75296662563</x:v>
      </x:c>
      <x:c r="H311" s="5" t="n">
        <x:v>3271.26347653464</x:v>
      </x:c>
      <x:c r="I311" s="5" t="n">
        <x:v>367.466898046032</x:v>
      </x:c>
      <x:c r="J311" s="5" t="n">
        <x:v>120.46031405844346</x:v>
      </x:c>
      <x:c r="K311" s="5" t="n">
        <x:v>195270.47880235038</x:v>
      </x:c>
      <x:c r="L311" s="5" t="n">
        <x:v>193.6912357339574</x:v>
      </x:c>
      <x:c r="M311" s="5" t="n">
        <x:v>0.32636526261677773</x:v>
      </x:c>
      <x:c r="N311" s="5" t="n">
        <x:v>0</x:v>
      </x:c>
      <x:c r="O311" s="5" t="n">
        <x:v>0</x:v>
      </x:c>
      <x:c r="P311" s="5" t="n">
        <x:v>0</x:v>
      </x:c>
      <x:c r="Q311" s="2" t="n">
        <x:v>193.6912357339574</x:v>
      </x:c>
    </x:row>
    <x:row r="312" ht="20" customHeight="1">
      <x:c r="A312" s="2" t="n">
        <x:v>19</x:v>
      </x:c>
      <x:c r="B312" s="2" t="str">
        <x:v>low</x:v>
      </x:c>
      <x:c r="C312" s="2" t="n">
        <x:v>24</x:v>
      </x:c>
      <x:c r="D312" s="2" t="n">
        <x:v>5</x:v>
      </x:c>
      <x:c r="E312" s="5" t="n">
        <x:v>195270.47880235038</x:v>
      </x:c>
      <x:c r="F312" s="5" t="n">
        <x:v>0</x:v>
      </x:c>
      <x:c r="G312" s="5" t="n">
        <x:v>23117.007636702372</x:v>
      </x:c>
      <x:c r="H312" s="5" t="n">
        <x:v>2924.130090309947</x:v>
      </x:c>
      <x:c r="I312" s="5" t="n">
        <x:v>328.4727816872568</x:v>
      </x:c>
      <x:c r="J312" s="5" t="n">
        <x:v>111.03632438662889</x:v>
      </x:c>
      <x:c r="K312" s="5" t="n">
        <x:v>171824.99838396074</x:v>
      </x:c>
      <x:c r="L312" s="5" t="n">
        <x:v>193.3654194642366</x:v>
      </x:c>
      <x:c r="M312" s="5" t="n">
        <x:v>0.325816269720794</x:v>
      </x:c>
      <x:c r="N312" s="5" t="n">
        <x:v>0</x:v>
      </x:c>
      <x:c r="O312" s="5" t="n">
        <x:v>0</x:v>
      </x:c>
      <x:c r="P312" s="5" t="n">
        <x:v>0</x:v>
      </x:c>
      <x:c r="Q312" s="2" t="n">
        <x:v>193.3654194642366</x:v>
      </x:c>
    </x:row>
    <x:row r="313" ht="20" customHeight="1">
      <x:c r="A313" s="2" t="n">
        <x:v>19</x:v>
      </x:c>
      <x:c r="B313" s="2" t="str">
        <x:v>low</x:v>
      </x:c>
      <x:c r="C313" s="2" t="n">
        <x:v>25</x:v>
      </x:c>
      <x:c r="D313" s="2" t="n">
        <x:v>6</x:v>
      </x:c>
      <x:c r="E313" s="5" t="n">
        <x:v>171824.99838396074</x:v>
      </x:c>
      <x:c r="F313" s="5" t="n">
        <x:v>0</x:v>
      </x:c>
      <x:c r="G313" s="5" t="n">
        <x:v>23424.29335748164</x:v>
      </x:c>
      <x:c r="H313" s="5" t="n">
        <x:v>2573.0394636383203</x:v>
      </x:c>
      <x:c r="I313" s="5" t="n">
        <x:v>289.0341414060621</x:v>
      </x:c>
      <x:c r="J313" s="5" t="n">
        <x:v>101.5056111487793</x:v>
      </x:c>
      <x:c r="K313" s="5" t="n">
        <x:v>148111.67088507305</x:v>
      </x:c>
      <x:c r="L313" s="5" t="n">
        <x:v>193.04015126392747</x:v>
      </x:c>
      <x:c r="M313" s="5" t="n">
        <x:v>0.3252682003091218</x:v>
      </x:c>
      <x:c r="N313" s="5" t="n">
        <x:v>0</x:v>
      </x:c>
      <x:c r="O313" s="5" t="n">
        <x:v>0</x:v>
      </x:c>
      <x:c r="P313" s="5" t="n">
        <x:v>0</x:v>
      </x:c>
      <x:c r="Q313" s="2" t="n">
        <x:v>193.04015126392747</x:v>
      </x:c>
    </x:row>
    <x:row r="314" ht="20" customHeight="1">
      <x:c r="A314" s="2" t="n">
        <x:v>19</x:v>
      </x:c>
      <x:c r="B314" s="2" t="str">
        <x:v>low</x:v>
      </x:c>
      <x:c r="C314" s="2" t="n">
        <x:v>26</x:v>
      </x:c>
      <x:c r="D314" s="2" t="n">
        <x:v>7</x:v>
      </x:c>
      <x:c r="E314" s="5" t="n">
        <x:v>148111.67088507305</x:v>
      </x:c>
      <x:c r="F314" s="5" t="n">
        <x:v>0</x:v>
      </x:c>
      <x:c r="G314" s="5" t="n">
        <x:v>23735.663712210026</x:v>
      </x:c>
      <x:c r="H314" s="5" t="n">
        <x:v>2217.9378891137985</x:v>
      </x:c>
      <x:c r="I314" s="5" t="n">
        <x:v>249.14494415313453</x:v>
      </x:c>
      <x:c r="J314" s="5" t="n">
        <x:v>91.866724511508</x:v>
      </x:c>
      <x:c r="K314" s="5" t="n">
        <x:v>124126.86222870988</x:v>
      </x:c>
      <x:c r="L314" s="5" t="n">
        <x:v>192.71543021109915</x:v>
      </x:c>
      <x:c r="M314" s="5" t="n">
        <x:v>0.3247210528283288</x:v>
      </x:c>
      <x:c r="N314" s="5" t="n">
        <x:v>0</x:v>
      </x:c>
      <x:c r="O314" s="5" t="n">
        <x:v>0</x:v>
      </x:c>
      <x:c r="P314" s="5" t="n">
        <x:v>0</x:v>
      </x:c>
      <x:c r="Q314" s="2" t="n">
        <x:v>192.71543021109915</x:v>
      </x:c>
    </x:row>
    <x:row r="315" ht="20" customHeight="1">
      <x:c r="A315" s="2" t="n">
        <x:v>19</x:v>
      </x:c>
      <x:c r="B315" s="2" t="str">
        <x:v>low</x:v>
      </x:c>
      <x:c r="C315" s="2" t="n">
        <x:v>27</x:v>
      </x:c>
      <x:c r="D315" s="2" t="n">
        <x:v>8</x:v>
      </x:c>
      <x:c r="E315" s="5" t="n">
        <x:v>124126.86222870988</x:v>
      </x:c>
      <x:c r="F315" s="5" t="n">
        <x:v>0</x:v>
      </x:c>
      <x:c r="G315" s="5" t="n">
        <x:v>24051.172996396133</x:v>
      </x:c>
      <x:c r="H315" s="5" t="n">
        <x:v>1858.770947277254</x:v>
      </x:c>
      <x:c r="I315" s="5" t="n">
        <x:v>208.79907689295052</x:v>
      </x:c>
      <x:c r="J315" s="5" t="n">
        <x:v>82.1181954218142</x:v>
      </x:c>
      <x:c r="K315" s="5" t="n">
        <x:v>99866.8901554208</x:v>
      </x:c>
      <x:c r="L315" s="5" t="n">
        <x:v>192.39125538537155</x:v>
      </x:c>
      <x:c r="M315" s="5" t="n">
        <x:v>0.3241748257275959</x:v>
      </x:c>
      <x:c r="N315" s="5" t="n">
        <x:v>0</x:v>
      </x:c>
      <x:c r="O315" s="5" t="n">
        <x:v>0</x:v>
      </x:c>
      <x:c r="P315" s="5" t="n">
        <x:v>0</x:v>
      </x:c>
      <x:c r="Q315" s="2" t="n">
        <x:v>192.39125538537155</x:v>
      </x:c>
    </x:row>
    <x:row r="316" ht="20" customHeight="1">
      <x:c r="A316" s="2" t="n">
        <x:v>19</x:v>
      </x:c>
      <x:c r="B316" s="2" t="str">
        <x:v>low</x:v>
      </x:c>
      <x:c r="C316" s="2" t="n">
        <x:v>28</x:v>
      </x:c>
      <x:c r="D316" s="2" t="n">
        <x:v>9</x:v>
      </x:c>
      <x:c r="E316" s="5" t="n">
        <x:v>99866.8901554208</x:v>
      </x:c>
      <x:c r="F316" s="5" t="n">
        <x:v>0</x:v>
      </x:c>
      <x:c r="G316" s="5" t="n">
        <x:v>24370.87622727843</x:v>
      </x:c>
      <x:c r="H316" s="5" t="n">
        <x:v>1495.483497148209</x:v>
      </x:c>
      <x:c r="I316" s="5" t="n">
        <x:v>167.9903455401982</x:v>
      </x:c>
      <x:c r="J316" s="5" t="n">
        <x:v>72.25853535151552</x:v>
      </x:c>
      <x:c r="K316" s="5" t="n">
        <x:v>75328.02358260217</x:v>
      </x:c>
      <x:c r="L316" s="5" t="n">
        <x:v>192.06762586791282</x:v>
      </x:c>
      <x:c r="M316" s="5" t="n">
        <x:v>0.3236295174587126</x:v>
      </x:c>
      <x:c r="N316" s="5" t="n">
        <x:v>0</x:v>
      </x:c>
      <x:c r="O316" s="5" t="n">
        <x:v>0</x:v>
      </x:c>
      <x:c r="P316" s="5" t="n">
        <x:v>0</x:v>
      </x:c>
      <x:c r="Q316" s="2" t="n">
        <x:v>192.06762586791282</x:v>
      </x:c>
    </x:row>
    <x:row r="317" ht="20" customHeight="1">
      <x:c r="A317" s="2" t="n">
        <x:v>19</x:v>
      </x:c>
      <x:c r="B317" s="2" t="str">
        <x:v>low</x:v>
      </x:c>
      <x:c r="C317" s="2" t="n">
        <x:v>29</x:v>
      </x:c>
      <x:c r="D317" s="2" t="n">
        <x:v>10</x:v>
      </x:c>
      <x:c r="E317" s="5" t="n">
        <x:v>75328.02358260217</x:v>
      </x:c>
      <x:c r="F317" s="5" t="n">
        <x:v>0</x:v>
      </x:c>
      <x:c r="G317" s="5" t="n">
        <x:v>24694.829153418912</x:v>
      </x:c>
      <x:c r="H317" s="5" t="n">
        <x:v>1128.0196666308016</x:v>
      </x:c>
      <x:c r="I317" s="5" t="n">
        <x:v>126.71247388206226</x:v>
      </x:c>
      <x:c r="J317" s="5" t="n">
        <x:v>62.28623603828363</x:v>
      </x:c>
      <x:c r="K317" s="5" t="n">
        <x:v>50506.48195530119</x:v>
      </x:c>
      <x:c r="L317" s="5" t="n">
        <x:v>191.74454074143677</x:v>
      </x:c>
      <x:c r="M317" s="5" t="n">
        <x:v>0.32308512647607274</x:v>
      </x:c>
      <x:c r="N317" s="5" t="n">
        <x:v>0</x:v>
      </x:c>
      <x:c r="O317" s="5" t="n">
        <x:v>0</x:v>
      </x:c>
      <x:c r="P317" s="5" t="n">
        <x:v>0</x:v>
      </x:c>
      <x:c r="Q317" s="2" t="n">
        <x:v>191.74454074143677</x:v>
      </x:c>
    </x:row>
    <x:row r="318" ht="20" customHeight="1">
      <x:c r="A318" s="2" t="n">
        <x:v>19</x:v>
      </x:c>
      <x:c r="B318" s="2" t="str">
        <x:v>low</x:v>
      </x:c>
      <x:c r="C318" s="2" t="n">
        <x:v>30</x:v>
      </x:c>
      <x:c r="D318" s="2" t="n">
        <x:v>11</x:v>
      </x:c>
      <x:c r="E318" s="5" t="n">
        <x:v>50506.48195530119</x:v>
      </x:c>
      <x:c r="F318" s="5" t="n">
        <x:v>0</x:v>
      </x:c>
      <x:c r="G318" s="5" t="n">
        <x:v>25023.08826442432</x:v>
      </x:c>
      <x:c r="H318" s="5" t="n">
        <x:v>756.3228427922252</x:v>
      </x:c>
      <x:c r="I318" s="5" t="n">
        <x:v>84.95910248618358</x:v>
      </x:c>
      <x:c r="J318" s="5" t="n">
        <x:v>52.19976922323763</x:v>
      </x:c>
      <x:c r="K318" s="5" t="n">
        <x:v>25398.434588390686</x:v>
      </x:c>
      <x:c r="L318" s="5" t="n">
        <x:v>191.4219990902001</x:v>
      </x:c>
      <x:c r="M318" s="5" t="n">
        <x:v>0.3225416512366701</x:v>
      </x:c>
      <x:c r="N318" s="5" t="n">
        <x:v>0</x:v>
      </x:c>
      <x:c r="O318" s="5" t="n">
        <x:v>0</x:v>
      </x:c>
      <x:c r="P318" s="5" t="n">
        <x:v>0</x:v>
      </x:c>
      <x:c r="Q318" s="2" t="n">
        <x:v>191.4219990902001</x:v>
      </x:c>
    </x:row>
    <x:row r="319" ht="20" customHeight="1">
      <x:c r="A319" s="2" t="n">
        <x:v>19</x:v>
      </x:c>
      <x:c r="B319" s="2" t="str">
        <x:v>low</x:v>
      </x:c>
      <x:c r="C319" s="2" t="n">
        <x:v>31</x:v>
      </x:c>
      <x:c r="D319" s="2" t="n">
        <x:v>12</x:v>
      </x:c>
      <x:c r="E319" s="5" t="n">
        <x:v>25398.434588390686</x:v>
      </x:c>
      <x:c r="F319" s="5" t="n">
        <x:v>0</x:v>
      </x:c>
      <x:c r="G319" s="5" t="n">
        <x:v>25355.710800796583</x:v>
      </x:c>
      <x:c r="H319" s="5" t="n">
        <x:v>380.3356620119487</x:v>
      </x:c>
      <x:c r="I319" s="5" t="n">
        <x:v>42.7237875941036</x:v>
      </x:c>
      <x:c r="J319" s="5" t="n">
        <x:v>41.99758638504955</x:v>
      </x:c>
      <x:c r="K319" s="5" t="n">
        <x:v>0</x:v>
      </x:c>
      <x:c r="L319" s="5" t="n">
        <x:v>0</x:v>
      </x:c>
      <x:c r="M319" s="5" t="n">
        <x:v>0.32199909020009404</x:v>
      </x:c>
      <x:c r="N319" s="5" t="n">
        <x:v>0</x:v>
      </x:c>
      <x:c r="O319" s="5" t="n">
        <x:v>0</x:v>
      </x:c>
      <x:c r="P319" s="5" t="n">
        <x:v>0</x:v>
      </x:c>
      <x:c r="Q319" s="2" t="n">
        <x:v>191.1</x:v>
      </x:c>
    </x:row>
    <x:row r="320" ht="20" customHeight="1">
      <x:c r="A320" s="2" t="n">
        <x:v>19</x:v>
      </x:c>
      <x:c r="B320" s="2" t="str">
        <x:v>low</x:v>
      </x:c>
      <x:c r="C320" s="2" t="n">
        <x:v>32</x:v>
      </x:c>
      <x:c r="D320" s="2" t="n">
        <x:v>13</x:v>
      </x:c>
      <x:c r="E320" s="5" t="n">
        <x:v>0</x:v>
      </x:c>
      <x:c r="F320" s="5" t="n">
        <x:v>0</x:v>
      </x:c>
      <x:c r="G320" s="5" t="n">
        <x:v>0</x:v>
      </x:c>
      <x:c r="H320" s="5" t="n">
        <x:v>0</x:v>
      </x:c>
      <x:c r="I320" s="5" t="n">
        <x:v>0</x:v>
      </x:c>
      <x:c r="J320" s="5" t="n">
        <x:v>31.678118470515564</x:v>
      </x:c>
      <x:c r="K320" s="5" t="n">
        <x:v>0</x:v>
      </x:c>
      <x:c r="L320" s="5" t="n">
        <x:v>0</x:v>
      </x:c>
      <x:c r="M320" s="5" t="n">
        <x:v>0</x:v>
      </x:c>
      <x:c r="N320" s="5" t="n">
        <x:v>0</x:v>
      </x:c>
      <x:c r="O320" s="5" t="n">
        <x:v>0</x:v>
      </x:c>
      <x:c r="P320" s="5" t="n">
        <x:v>0</x:v>
      </x:c>
      <x:c r="Q320" s="2" t="n">
        <x:v>0</x:v>
      </x:c>
    </x:row>
    <x:row r="321" ht="20" customHeight="1">
      <x:c r="A321" s="2" t="n">
        <x:v>19</x:v>
      </x:c>
      <x:c r="B321" s="2" t="str">
        <x:v>low</x:v>
      </x:c>
      <x:c r="C321" s="2" t="n">
        <x:v>33</x:v>
      </x:c>
      <x:c r="D321" s="2" t="n">
        <x:v>14</x:v>
      </x:c>
      <x:c r="E321" s="5" t="n">
        <x:v>0</x:v>
      </x:c>
      <x:c r="F321" s="5" t="n">
        <x:v>0</x:v>
      </x:c>
      <x:c r="G321" s="5" t="n">
        <x:v>0</x:v>
      </x:c>
      <x:c r="H321" s="5" t="n">
        <x:v>0</x:v>
      </x:c>
      <x:c r="I321" s="5" t="n">
        <x:v>0</x:v>
      </x:c>
      <x:c r="J321" s="5" t="n">
        <x:v>21.239775621545895</x:v>
      </x:c>
      <x:c r="K321" s="5" t="n">
        <x:v>0</x:v>
      </x:c>
      <x:c r="L321" s="5" t="n">
        <x:v>0</x:v>
      </x:c>
      <x:c r="M321" s="5" t="n">
        <x:v>0</x:v>
      </x:c>
      <x:c r="N321" s="5" t="n">
        <x:v>0</x:v>
      </x:c>
      <x:c r="O321" s="5" t="n">
        <x:v>0</x:v>
      </x:c>
      <x:c r="P321" s="5" t="n">
        <x:v>0</x:v>
      </x:c>
      <x:c r="Q321" s="2" t="n">
        <x:v>0</x:v>
      </x:c>
    </x:row>
    <x:row r="322" ht="20" customHeight="1">
      <x:c r="A322" s="2" t="n">
        <x:v>19</x:v>
      </x:c>
      <x:c r="B322" s="2" t="str">
        <x:v>low</x:v>
      </x:c>
      <x:c r="C322" s="2" t="n">
        <x:v>34</x:v>
      </x:c>
      <x:c r="D322" s="2" t="n">
        <x:v>15</x:v>
      </x:c>
      <x:c r="E322" s="5" t="n">
        <x:v>0</x:v>
      </x:c>
      <x:c r="F322" s="5" t="n">
        <x:v>0</x:v>
      </x:c>
      <x:c r="G322" s="5" t="n">
        <x:v>0</x:v>
      </x:c>
      <x:c r="H322" s="5" t="n">
        <x:v>0</x:v>
      </x:c>
      <x:c r="I322" s="5" t="n">
        <x:v>0</x:v>
      </x:c>
      <x:c r="J322" s="5" t="n">
        <x:v>10.6809468985259</x:v>
      </x:c>
      <x:c r="K322" s="5" t="n">
        <x:v>0</x:v>
      </x:c>
      <x:c r="L322" s="5" t="n">
        <x:v>0</x:v>
      </x:c>
      <x:c r="M322" s="5" t="n">
        <x:v>0</x:v>
      </x:c>
      <x:c r="N322" s="5" t="n">
        <x:v>0</x:v>
      </x:c>
      <x:c r="O322" s="5" t="n">
        <x:v>0</x:v>
      </x:c>
      <x:c r="P322" s="5" t="n">
        <x:v>0</x:v>
      </x:c>
      <x:c r="Q322" s="2" t="n">
        <x:v>0</x:v>
      </x:c>
    </x:row>
    <x:row r="323" ht="20" customHeight="1">
      <x:c r="A323" s="2" t="n">
        <x:v>20</x:v>
      </x:c>
      <x:c r="B323" s="2" t="str">
        <x:v>low</x:v>
      </x:c>
      <x:c r="C323" s="2" t="n">
        <x:v>20</x:v>
      </x:c>
      <x:c r="D323" s="2" t="n">
        <x:v>0</x:v>
      </x:c>
      <x:c r="E323" s="5" t="n">
        <x:v>0</x:v>
      </x:c>
      <x:c r="F323" s="5" t="n">
        <x:v>255271.5</x:v>
      </x:c>
      <x:c r="G323" s="5" t="n">
        <x:v>0</x:v>
      </x:c>
      <x:c r="H323" s="5" t="n">
        <x:v>0</x:v>
      </x:c>
      <x:c r="I323" s="5" t="n">
        <x:v>0</x:v>
      </x:c>
      <x:c r="J323" s="5" t="n">
        <x:v>0</x:v>
      </x:c>
      <x:c r="K323" s="5" t="n">
        <x:v>255271.5</x:v>
      </x:c>
      <x:c r="L323" s="5" t="n">
        <x:v>178</x:v>
      </x:c>
      <x:c r="M323" s="5" t="n">
        <x:v>0</x:v>
      </x:c>
      <x:c r="N323" s="5" t="n">
        <x:v>178</x:v>
      </x:c>
      <x:c r="O323" s="5" t="n">
        <x:v>5105.43</x:v>
      </x:c>
      <x:c r="P323" s="5" t="n">
        <x:v>4450</x:v>
      </x:c>
      <x:c r="Q323" s="2" t="n">
        <x:v>0</x:v>
      </x:c>
    </x:row>
    <x:row r="324" ht="20" customHeight="1">
      <x:c r="A324" s="2" t="n">
        <x:v>20</x:v>
      </x:c>
      <x:c r="B324" s="2" t="str">
        <x:v>low</x:v>
      </x:c>
      <x:c r="C324" s="2" t="n">
        <x:v>21</x:v>
      </x:c>
      <x:c r="D324" s="2" t="n">
        <x:v>1</x:v>
      </x:c>
      <x:c r="E324" s="5" t="n">
        <x:v>255271.5</x:v>
      </x:c>
      <x:c r="F324" s="5" t="n">
        <x:v>0</x:v>
      </x:c>
      <x:c r="G324" s="5" t="n">
        <x:v>19541.29018613118</x:v>
      </x:c>
      <x:c r="H324" s="5" t="n">
        <x:v>3822.6314542102255</x:v>
      </x:c>
      <x:c r="I324" s="5" t="n">
        <x:v>429.40305265165006</x:v>
      </x:c>
      <x:c r="J324" s="5" t="n">
        <x:v>0</x:v>
      </x:c>
      <x:c r="K324" s="5" t="n">
        <x:v>235300.80676121716</x:v>
      </x:c>
      <x:c r="L324" s="5" t="n">
        <x:v>177.70057862561237</x:v>
      </x:c>
      <x:c r="M324" s="5" t="n">
        <x:v>0.2994213743876371</x:v>
      </x:c>
      <x:c r="N324" s="5" t="n">
        <x:v>0</x:v>
      </x:c>
      <x:c r="O324" s="5" t="n">
        <x:v>0</x:v>
      </x:c>
      <x:c r="P324" s="5" t="n">
        <x:v>0</x:v>
      </x:c>
      <x:c r="Q324" s="2" t="n">
        <x:v>177.70057862561237</x:v>
      </x:c>
    </x:row>
    <x:row r="325" ht="20" customHeight="1">
      <x:c r="A325" s="2" t="n">
        <x:v>20</x:v>
      </x:c>
      <x:c r="B325" s="2" t="str">
        <x:v>low</x:v>
      </x:c>
      <x:c r="C325" s="2" t="n">
        <x:v>22</x:v>
      </x:c>
      <x:c r="D325" s="2" t="n">
        <x:v>2</x:v>
      </x:c>
      <x:c r="E325" s="5" t="n">
        <x:v>235300.80676121716</x:v>
      </x:c>
      <x:c r="F325" s="5" t="n">
        <x:v>0</x:v>
      </x:c>
      <x:c r="G325" s="5" t="n">
        <x:v>19801.045234629262</x:v>
      </x:c>
      <x:c r="H325" s="5" t="n">
        <x:v>3523.5749589220527</x:v>
      </x:c>
      <x:c r="I325" s="5" t="n">
        <x:v>395.80949974698575</x:v>
      </x:c>
      <x:c r="J325" s="5" t="n">
        <x:v>0</x:v>
      </x:c>
      <x:c r="K325" s="5" t="n">
        <x:v>215103.9520268409</x:v>
      </x:c>
      <x:c r="L325" s="5" t="n">
        <x:v>177.4016609206598</x:v>
      </x:c>
      <x:c r="M325" s="5" t="n">
        <x:v>0.2989177049525799</x:v>
      </x:c>
      <x:c r="N325" s="5" t="n">
        <x:v>0</x:v>
      </x:c>
      <x:c r="O325" s="5" t="n">
        <x:v>0</x:v>
      </x:c>
      <x:c r="P325" s="5" t="n">
        <x:v>0</x:v>
      </x:c>
      <x:c r="Q325" s="2" t="n">
        <x:v>177.4016609206598</x:v>
      </x:c>
    </x:row>
    <x:row r="326" ht="20" customHeight="1">
      <x:c r="A326" s="2" t="n">
        <x:v>20</x:v>
      </x:c>
      <x:c r="B326" s="2" t="str">
        <x:v>low</x:v>
      </x:c>
      <x:c r="C326" s="2" t="n">
        <x:v>23</x:v>
      </x:c>
      <x:c r="D326" s="2" t="n">
        <x:v>3</x:v>
      </x:c>
      <x:c r="E326" s="5" t="n">
        <x:v>215103.9520268409</x:v>
      </x:c>
      <x:c r="F326" s="5" t="n">
        <x:v>0</x:v>
      </x:c>
      <x:c r="G326" s="5" t="n">
        <x:v>20064.25310965914</x:v>
      </x:c>
      <x:c r="H326" s="5" t="n">
        <x:v>3221.131747738112</x:v>
      </x:c>
      <x:c r="I326" s="5" t="n">
        <x:v>361.8355109667925</x:v>
      </x:c>
      <x:c r="J326" s="5" t="n">
        <x:v>0</x:v>
      </x:c>
      <x:c r="K326" s="5" t="n">
        <x:v>194677.86340621498</x:v>
      </x:c>
      <x:c r="L326" s="5" t="n">
        <x:v>177.10324603789846</x:v>
      </x:c>
      <x:c r="M326" s="5" t="n">
        <x:v>0.29841488276131195</x:v>
      </x:c>
      <x:c r="N326" s="5" t="n">
        <x:v>0</x:v>
      </x:c>
      <x:c r="O326" s="5" t="n">
        <x:v>0</x:v>
      </x:c>
      <x:c r="P326" s="5" t="n">
        <x:v>0</x:v>
      </x:c>
      <x:c r="Q326" s="2" t="n">
        <x:v>177.10324603789846</x:v>
      </x:c>
    </x:row>
    <x:row r="327" ht="20" customHeight="1">
      <x:c r="A327" s="2" t="n">
        <x:v>20</x:v>
      </x:c>
      <x:c r="B327" s="2" t="str">
        <x:v>low</x:v>
      </x:c>
      <x:c r="C327" s="2" t="n">
        <x:v>24</x:v>
      </x:c>
      <x:c r="D327" s="2" t="n">
        <x:v>4</x:v>
      </x:c>
      <x:c r="E327" s="5" t="n">
        <x:v>194677.86340621498</x:v>
      </x:c>
      <x:c r="F327" s="5" t="n">
        <x:v>0</x:v>
      </x:c>
      <x:c r="G327" s="5" t="n">
        <x:v>20330.959708350165</x:v>
      </x:c>
      <x:c r="H327" s="5" t="n">
        <x:v>2915.2558123215445</x:v>
      </x:c>
      <x:c r="I327" s="5" t="n">
        <x:v>327.47591811200886</x:v>
      </x:c>
      <x:c r="J327" s="5" t="n">
        <x:v>107.35076316291251</x:v>
      </x:c>
      <x:c r="K327" s="5" t="n">
        <x:v>174019.42777975282</x:v>
      </x:c>
      <x:c r="L327" s="5" t="n">
        <x:v>176.80533313150983</x:v>
      </x:c>
      <x:c r="M327" s="5" t="n">
        <x:v>0.29791290638864837</x:v>
      </x:c>
      <x:c r="N327" s="5" t="n">
        <x:v>0</x:v>
      </x:c>
      <x:c r="O327" s="5" t="n">
        <x:v>0</x:v>
      </x:c>
      <x:c r="P327" s="5" t="n">
        <x:v>0</x:v>
      </x:c>
      <x:c r="Q327" s="2" t="n">
        <x:v>176.80533313150983</x:v>
      </x:c>
    </x:row>
    <x:row r="328" ht="20" customHeight="1">
      <x:c r="A328" s="2" t="n">
        <x:v>20</x:v>
      </x:c>
      <x:c r="B328" s="2" t="str">
        <x:v>low</x:v>
      </x:c>
      <x:c r="C328" s="2" t="n">
        <x:v>25</x:v>
      </x:c>
      <x:c r="D328" s="2" t="n">
        <x:v>5</x:v>
      </x:c>
      <x:c r="E328" s="5" t="n">
        <x:v>174019.42777975282</x:v>
      </x:c>
      <x:c r="F328" s="5" t="n">
        <x:v>0</x:v>
      </x:c>
      <x:c r="G328" s="5" t="n">
        <x:v>20601.211537925017</x:v>
      </x:c>
      <x:c r="H328" s="5" t="n">
        <x:v>2605.900534429217</x:v>
      </x:c>
      <x:c r="I328" s="5" t="n">
        <x:v>292.72548447170647</x:v>
      </x:c>
      <x:c r="J328" s="5" t="n">
        <x:v>98.95237493674644</x:v>
      </x:c>
      <x:c r="K328" s="5" t="n">
        <x:v>153125.49075735608</x:v>
      </x:c>
      <x:c r="L328" s="5" t="n">
        <x:v>176.507921357098</x:v>
      </x:c>
      <x:c r="M328" s="5" t="n">
        <x:v>0.2974117744118017</x:v>
      </x:c>
      <x:c r="N328" s="5" t="n">
        <x:v>0</x:v>
      </x:c>
      <x:c r="O328" s="5" t="n">
        <x:v>0</x:v>
      </x:c>
      <x:c r="P328" s="5" t="n">
        <x:v>0</x:v>
      </x:c>
      <x:c r="Q328" s="2" t="n">
        <x:v>176.507921357098</x:v>
      </x:c>
    </x:row>
    <x:row r="329" ht="20" customHeight="1">
      <x:c r="A329" s="2" t="n">
        <x:v>20</x:v>
      </x:c>
      <x:c r="B329" s="2" t="str">
        <x:v>low</x:v>
      </x:c>
      <x:c r="C329" s="2" t="n">
        <x:v>26</x:v>
      </x:c>
      <x:c r="D329" s="2" t="n">
        <x:v>6</x:v>
      </x:c>
      <x:c r="E329" s="5" t="n">
        <x:v>153125.49075735608</x:v>
      </x:c>
      <x:c r="F329" s="5" t="n">
        <x:v>0</x:v>
      </x:c>
      <x:c r="G329" s="5" t="n">
        <x:v>20875.05572380947</x:v>
      </x:c>
      <x:c r="H329" s="5" t="n">
        <x:v>2293.0186778016605</x:v>
      </x:c>
      <x:c r="I329" s="5" t="n">
        <x:v>257.578903912073</x:v>
      </x:c>
      <x:c r="J329" s="5" t="n">
        <x:v>90.45887774169813</x:v>
      </x:c>
      <x:c r="K329" s="5" t="n">
        <x:v>131992.85612963454</x:v>
      </x:c>
      <x:c r="L329" s="5" t="n">
        <x:v>176.21100987168765</x:v>
      </x:c>
      <x:c r="M329" s="5" t="n">
        <x:v>0.2969114854103779</x:v>
      </x:c>
      <x:c r="N329" s="5" t="n">
        <x:v>0</x:v>
      </x:c>
      <x:c r="O329" s="5" t="n">
        <x:v>0</x:v>
      </x:c>
      <x:c r="P329" s="5" t="n">
        <x:v>0</x:v>
      </x:c>
      <x:c r="Q329" s="2" t="n">
        <x:v>176.21100987168765</x:v>
      </x:c>
    </x:row>
    <x:row r="330" ht="20" customHeight="1">
      <x:c r="A330" s="2" t="n">
        <x:v>20</x:v>
      </x:c>
      <x:c r="B330" s="2" t="str">
        <x:v>low</x:v>
      </x:c>
      <x:c r="C330" s="2" t="n">
        <x:v>27</x:v>
      </x:c>
      <x:c r="D330" s="2" t="n">
        <x:v>7</x:v>
      </x:c>
      <x:c r="E330" s="5" t="n">
        <x:v>131992.85612963454</x:v>
      </x:c>
      <x:c r="F330" s="5" t="n">
        <x:v>0</x:v>
      </x:c>
      <x:c r="G330" s="5" t="n">
        <x:v>21152.540017849926</x:v>
      </x:c>
      <x:c r="H330" s="5" t="n">
        <x:v>1976.562379945219</x:v>
      </x:c>
      <x:c r="I330" s="5" t="n">
        <x:v>222.03079995328557</x:v>
      </x:c>
      <x:c r="J330" s="5" t="n">
        <x:v>81.86897952800221</x:v>
      </x:c>
      <x:c r="K330" s="5" t="n">
        <x:v>110618.28531183134</x:v>
      </x:c>
      <x:c r="L330" s="5" t="n">
        <x:v>175.91459783372127</x:v>
      </x:c>
      <x:c r="M330" s="5" t="n">
        <x:v>0.29641203796637194</x:v>
      </x:c>
      <x:c r="N330" s="5" t="n">
        <x:v>0</x:v>
      </x:c>
      <x:c r="O330" s="5" t="n">
        <x:v>0</x:v>
      </x:c>
      <x:c r="P330" s="5" t="n">
        <x:v>0</x:v>
      </x:c>
      <x:c r="Q330" s="2" t="n">
        <x:v>175.91459783372127</x:v>
      </x:c>
    </x:row>
    <x:row r="331" ht="20" customHeight="1">
      <x:c r="A331" s="2" t="n">
        <x:v>20</x:v>
      </x:c>
      <x:c r="B331" s="2" t="str">
        <x:v>low</x:v>
      </x:c>
      <x:c r="C331" s="2" t="n">
        <x:v>28</x:v>
      </x:c>
      <x:c r="D331" s="2" t="n">
        <x:v>8</x:v>
      </x:c>
      <x:c r="E331" s="5" t="n">
        <x:v>110618.28531183134</x:v>
      </x:c>
      <x:c r="F331" s="5" t="n">
        <x:v>0</x:v>
      </x:c>
      <x:c r="G331" s="5" t="n">
        <x:v>21433.712806640186</x:v>
      </x:c>
      <x:c r="H331" s="5" t="n">
        <x:v>1656.4831438049582</x:v>
      </x:c>
      <x:c r="I331" s="5" t="n">
        <x:v>186.0757248341141</x:v>
      </x:c>
      <x:c r="J331" s="5" t="n">
        <x:v>73.18137111792662</x:v>
      </x:c>
      <x:c r="K331" s="5" t="n">
        <x:v>88998.49678035703</x:v>
      </x:c>
      <x:c r="L331" s="5" t="n">
        <x:v>175.6186844030571</x:v>
      </x:c>
      <x:c r="M331" s="5" t="n">
        <x:v>0.2959134306641645</x:v>
      </x:c>
      <x:c r="N331" s="5" t="n">
        <x:v>0</x:v>
      </x:c>
      <x:c r="O331" s="5" t="n">
        <x:v>0</x:v>
      </x:c>
      <x:c r="P331" s="5" t="n">
        <x:v>0</x:v>
      </x:c>
      <x:c r="Q331" s="2" t="n">
        <x:v>175.6186844030571</x:v>
      </x:c>
    </x:row>
    <x:row r="332" ht="20" customHeight="1">
      <x:c r="A332" s="2" t="n">
        <x:v>20</x:v>
      </x:c>
      <x:c r="B332" s="2" t="str">
        <x:v>low</x:v>
      </x:c>
      <x:c r="C332" s="2" t="n">
        <x:v>29</x:v>
      </x:c>
      <x:c r="D332" s="2" t="n">
        <x:v>9</x:v>
      </x:c>
      <x:c r="E332" s="5" t="n">
        <x:v>88998.49678035703</x:v>
      </x:c>
      <x:c r="F332" s="5" t="n">
        <x:v>0</x:v>
      </x:c>
      <x:c r="G332" s="5" t="n">
        <x:v>21718.623119958913</x:v>
      </x:c>
      <x:c r="H332" s="5" t="n">
        <x:v>1332.731829326894</x:v>
      </x:c>
      <x:c r="I332" s="5" t="n">
        <x:v>149.708158564091</x:v>
      </x:c>
      <x:c r="J332" s="5" t="n">
        <x:v>64.39472597801824</x:v>
      </x:c>
      <x:c r="K332" s="5" t="n">
        <x:v>67130.16550183402</x:v>
      </x:c>
      <x:c r="L332" s="5" t="n">
        <x:v>175.3232687409666</x:v>
      </x:c>
      <x:c r="M332" s="5" t="n">
        <x:v>0.2954156620905171</x:v>
      </x:c>
      <x:c r="N332" s="5" t="n">
        <x:v>0</x:v>
      </x:c>
      <x:c r="O332" s="5" t="n">
        <x:v>0</x:v>
      </x:c>
      <x:c r="P332" s="5" t="n">
        <x:v>0</x:v>
      </x:c>
      <x:c r="Q332" s="2" t="n">
        <x:v>175.3232687409666</x:v>
      </x:c>
    </x:row>
    <x:row r="333" ht="20" customHeight="1">
      <x:c r="A333" s="2" t="n">
        <x:v>20</x:v>
      </x:c>
      <x:c r="B333" s="2" t="str">
        <x:v>low</x:v>
      </x:c>
      <x:c r="C333" s="2" t="n">
        <x:v>30</x:v>
      </x:c>
      <x:c r="D333" s="2" t="n">
        <x:v>10</x:v>
      </x:c>
      <x:c r="E333" s="5" t="n">
        <x:v>67130.16550183402</x:v>
      </x:c>
      <x:c r="F333" s="5" t="n">
        <x:v>0</x:v>
      </x:c>
      <x:c r="G333" s="5" t="n">
        <x:v>22007.320639319245</x:v>
      </x:c>
      <x:c r="H333" s="5" t="n">
        <x:v>1005.2586449080642</x:v>
      </x:c>
      <x:c r="I333" s="5" t="n">
        <x:v>112.92250796308252</x:v>
      </x:c>
      <x:c r="J333" s="5" t="n">
        <x:v>55.50769998832139</x:v>
      </x:c>
      <x:c r="K333" s="5" t="n">
        <x:v>45009.9223545517</x:v>
      </x:c>
      <x:c r="L333" s="5" t="n">
        <x:v>175.02835001013202</x:v>
      </x:c>
      <x:c r="M333" s="5" t="n">
        <x:v>0.29491873083456893</x:v>
      </x:c>
      <x:c r="N333" s="5" t="n">
        <x:v>0</x:v>
      </x:c>
      <x:c r="O333" s="5" t="n">
        <x:v>0</x:v>
      </x:c>
      <x:c r="P333" s="5" t="n">
        <x:v>0</x:v>
      </x:c>
      <x:c r="Q333" s="2" t="n">
        <x:v>175.02835001013202</x:v>
      </x:c>
    </x:row>
    <x:row r="334" ht="20" customHeight="1">
      <x:c r="A334" s="2" t="n">
        <x:v>20</x:v>
      </x:c>
      <x:c r="B334" s="2" t="str">
        <x:v>low</x:v>
      </x:c>
      <x:c r="C334" s="2" t="n">
        <x:v>31</x:v>
      </x:c>
      <x:c r="D334" s="2" t="n">
        <x:v>11</x:v>
      </x:c>
      <x:c r="E334" s="5" t="n">
        <x:v>45009.9223545517</x:v>
      </x:c>
      <x:c r="F334" s="5" t="n">
        <x:v>0</x:v>
      </x:c>
      <x:c r="G334" s="5" t="n">
        <x:v>22299.855706632065</x:v>
      </x:c>
      <x:c r="H334" s="5" t="n">
        <x:v>674.0131387329542</x:v>
      </x:c>
      <x:c r="I334" s="5" t="n">
        <x:v>75.71310568809383</x:v>
      </x:c>
      <x:c r="J334" s="5" t="n">
        <x:v>46.51893120852853</x:v>
      </x:c>
      <x:c r="K334" s="5" t="n">
        <x:v>22634.353542231547</x:v>
      </x:c>
      <x:c r="L334" s="5" t="n">
        <x:v>174.7339273746442</x:v>
      </x:c>
      <x:c r="M334" s="5" t="n">
        <x:v>0.2944226354878322</x:v>
      </x:c>
      <x:c r="N334" s="5" t="n">
        <x:v>0</x:v>
      </x:c>
      <x:c r="O334" s="5" t="n">
        <x:v>0</x:v>
      </x:c>
      <x:c r="P334" s="5" t="n">
        <x:v>0</x:v>
      </x:c>
      <x:c r="Q334" s="2" t="n">
        <x:v>174.7339273746442</x:v>
      </x:c>
    </x:row>
    <x:row r="335" ht="20" customHeight="1">
      <x:c r="A335" s="2" t="n">
        <x:v>20</x:v>
      </x:c>
      <x:c r="B335" s="2" t="str">
        <x:v>low</x:v>
      </x:c>
      <x:c r="C335" s="2" t="n">
        <x:v>32</x:v>
      </x:c>
      <x:c r="D335" s="2" t="n">
        <x:v>12</x:v>
      </x:c>
      <x:c r="E335" s="5" t="n">
        <x:v>22634.353542231547</x:v>
      </x:c>
      <x:c r="F335" s="5" t="n">
        <x:v>0</x:v>
      </x:c>
      <x:c r="G335" s="5" t="n">
        <x:v>22596.279332984406</x:v>
      </x:c>
      <x:c r="H335" s="5" t="n">
        <x:v>338.9441899947661</x:v>
      </x:c>
      <x:c r="I335" s="5" t="n">
        <x:v>38.0742092471385</x:v>
      </x:c>
      <x:c r="J335" s="5" t="n">
        <x:v>37.42703964102275</x:v>
      </x:c>
      <x:c r="K335" s="5" t="n">
        <x:v>0</x:v>
      </x:c>
      <x:c r="L335" s="5" t="n">
        <x:v>0</x:v>
      </x:c>
      <x:c r="M335" s="5" t="n">
        <x:v>0.2939273746441884</x:v>
      </x:c>
      <x:c r="N335" s="5" t="n">
        <x:v>0</x:v>
      </x:c>
      <x:c r="O335" s="5" t="n">
        <x:v>0</x:v>
      </x:c>
      <x:c r="P335" s="5" t="n">
        <x:v>0</x:v>
      </x:c>
      <x:c r="Q335" s="2" t="n">
        <x:v>174.44</x:v>
      </x:c>
    </x:row>
    <x:row r="336" ht="20" customHeight="1">
      <x:c r="A336" s="2" t="n">
        <x:v>20</x:v>
      </x:c>
      <x:c r="B336" s="2" t="str">
        <x:v>low</x:v>
      </x:c>
      <x:c r="C336" s="2" t="n">
        <x:v>33</x:v>
      </x:c>
      <x:c r="D336" s="2" t="n">
        <x:v>13</x:v>
      </x:c>
      <x:c r="E336" s="5" t="n">
        <x:v>0</x:v>
      </x:c>
      <x:c r="F336" s="5" t="n">
        <x:v>0</x:v>
      </x:c>
      <x:c r="G336" s="5" t="n">
        <x:v>0</x:v>
      </x:c>
      <x:c r="H336" s="5" t="n">
        <x:v>0</x:v>
      </x:c>
      <x:c r="I336" s="5" t="n">
        <x:v>0</x:v>
      </x:c>
      <x:c r="J336" s="5" t="n">
        <x:v>28.23062699077063</x:v>
      </x:c>
      <x:c r="K336" s="5" t="n">
        <x:v>0</x:v>
      </x:c>
      <x:c r="L336" s="5" t="n">
        <x:v>0</x:v>
      </x:c>
      <x:c r="M336" s="5" t="n">
        <x:v>0</x:v>
      </x:c>
      <x:c r="N336" s="5" t="n">
        <x:v>0</x:v>
      </x:c>
      <x:c r="O336" s="5" t="n">
        <x:v>0</x:v>
      </x:c>
      <x:c r="P336" s="5" t="n">
        <x:v>0</x:v>
      </x:c>
      <x:c r="Q336" s="2" t="n">
        <x:v>0</x:v>
      </x:c>
    </x:row>
    <x:row r="337" ht="20" customHeight="1">
      <x:c r="A337" s="2" t="n">
        <x:v>20</x:v>
      </x:c>
      <x:c r="B337" s="2" t="str">
        <x:v>low</x:v>
      </x:c>
      <x:c r="C337" s="2" t="n">
        <x:v>34</x:v>
      </x:c>
      <x:c r="D337" s="2" t="n">
        <x:v>14</x:v>
      </x:c>
      <x:c r="E337" s="5" t="n">
        <x:v>0</x:v>
      </x:c>
      <x:c r="F337" s="5" t="n">
        <x:v>0</x:v>
      </x:c>
      <x:c r="G337" s="5" t="n">
        <x:v>0</x:v>
      </x:c>
      <x:c r="H337" s="5" t="n">
        <x:v>0</x:v>
      </x:c>
      <x:c r="I337" s="5" t="n">
        <x:v>0</x:v>
      </x:c>
      <x:c r="J337" s="5" t="n">
        <x:v>18.92827642202346</x:v>
      </x:c>
      <x:c r="K337" s="5" t="n">
        <x:v>0</x:v>
      </x:c>
      <x:c r="L337" s="5" t="n">
        <x:v>0</x:v>
      </x:c>
      <x:c r="M337" s="5" t="n">
        <x:v>0</x:v>
      </x:c>
      <x:c r="N337" s="5" t="n">
        <x:v>0</x:v>
      </x:c>
      <x:c r="O337" s="5" t="n">
        <x:v>0</x:v>
      </x:c>
      <x:c r="P337" s="5" t="n">
        <x:v>0</x:v>
      </x:c>
      <x:c r="Q337" s="2" t="n">
        <x:v>0</x:v>
      </x:c>
    </x:row>
    <x:row r="338" ht="20" customHeight="1">
      <x:c r="A338" s="2" t="n">
        <x:v>20</x:v>
      </x:c>
      <x:c r="B338" s="2" t="str">
        <x:v>low</x:v>
      </x:c>
      <x:c r="C338" s="2" t="n">
        <x:v>35</x:v>
      </x:c>
      <x:c r="D338" s="2" t="n">
        <x:v>15</x:v>
      </x:c>
      <x:c r="E338" s="5" t="n">
        <x:v>0</x:v>
      </x:c>
      <x:c r="F338" s="5" t="n">
        <x:v>0</x:v>
      </x:c>
      <x:c r="G338" s="5" t="n">
        <x:v>0</x:v>
      </x:c>
      <x:c r="H338" s="5" t="n">
        <x:v>0</x:v>
      </x:c>
      <x:c r="I338" s="5" t="n">
        <x:v>0</x:v>
      </x:c>
      <x:c r="J338" s="5" t="n">
        <x:v>9.518552311784624</x:v>
      </x:c>
      <x:c r="K338" s="5" t="n">
        <x:v>0</x:v>
      </x:c>
      <x:c r="L338" s="5" t="n">
        <x:v>0</x:v>
      </x:c>
      <x:c r="M338" s="5" t="n">
        <x:v>0</x:v>
      </x:c>
      <x:c r="N338" s="5" t="n">
        <x:v>0</x:v>
      </x:c>
      <x:c r="O338" s="5" t="n">
        <x:v>0</x:v>
      </x:c>
      <x:c r="P338" s="5" t="n">
        <x:v>0</x:v>
      </x:c>
      <x:c r="Q338" s="2" t="n">
        <x:v>0</x:v>
      </x:c>
    </x:row>
    <x:row r="339" ht="20" customHeight="1">
      <x:c r="A339" s="2" t="n">
        <x:v>21</x:v>
      </x:c>
      <x:c r="B339" s="2" t="str">
        <x:v>low</x:v>
      </x:c>
      <x:c r="C339" s="2" t="n">
        <x:v>21</x:v>
      </x:c>
      <x:c r="D339" s="2" t="n">
        <x:v>0</x:v>
      </x:c>
      <x:c r="E339" s="5" t="n">
        <x:v>0</x:v>
      </x:c>
      <x:c r="F339" s="5" t="n">
        <x:v>275809.2</x:v>
      </x:c>
      <x:c r="G339" s="5" t="n">
        <x:v>0</x:v>
      </x:c>
      <x:c r="H339" s="5" t="n">
        <x:v>0</x:v>
      </x:c>
      <x:c r="I339" s="5" t="n">
        <x:v>0</x:v>
      </x:c>
      <x:c r="J339" s="5" t="n">
        <x:v>0</x:v>
      </x:c>
      <x:c r="K339" s="5" t="n">
        <x:v>275809.2</x:v>
      </x:c>
      <x:c r="L339" s="5" t="n">
        <x:v>183</x:v>
      </x:c>
      <x:c r="M339" s="5" t="n">
        <x:v>0</x:v>
      </x:c>
      <x:c r="N339" s="5" t="n">
        <x:v>183</x:v>
      </x:c>
      <x:c r="O339" s="5" t="n">
        <x:v>5516.184</x:v>
      </x:c>
      <x:c r="P339" s="5" t="n">
        <x:v>4575</x:v>
      </x:c>
      <x:c r="Q339" s="2" t="n">
        <x:v>0</x:v>
      </x:c>
    </x:row>
    <x:row r="340" ht="20" customHeight="1">
      <x:c r="A340" s="2" t="n">
        <x:v>21</x:v>
      </x:c>
      <x:c r="B340" s="2" t="str">
        <x:v>low</x:v>
      </x:c>
      <x:c r="C340" s="2" t="n">
        <x:v>22</x:v>
      </x:c>
      <x:c r="D340" s="2" t="n">
        <x:v>1</x:v>
      </x:c>
      <x:c r="E340" s="5" t="n">
        <x:v>275809.2</x:v>
      </x:c>
      <x:c r="F340" s="5" t="n">
        <x:v>0</x:v>
      </x:c>
      <x:c r="G340" s="5" t="n">
        <x:v>21113.47178672391</x:v>
      </x:c>
      <x:c r="H340" s="5" t="n">
        <x:v>4130.178744123645</x:v>
      </x:c>
      <x:c r="I340" s="5" t="n">
        <x:v>463.9503917570488</x:v>
      </x:c>
      <x:c r="J340" s="5" t="n">
        <x:v>0</x:v>
      </x:c>
      <x:c r="K340" s="5" t="n">
        <x:v>254231.77782151903</x:v>
      </x:c>
      <x:c r="L340" s="5" t="n">
        <x:v>182.69216791284867</x:v>
      </x:c>
      <x:c r="M340" s="5" t="n">
        <x:v>0.3078320871513348</x:v>
      </x:c>
      <x:c r="N340" s="5" t="n">
        <x:v>0</x:v>
      </x:c>
      <x:c r="O340" s="5" t="n">
        <x:v>0</x:v>
      </x:c>
      <x:c r="P340" s="5" t="n">
        <x:v>0</x:v>
      </x:c>
      <x:c r="Q340" s="2" t="n">
        <x:v>182.69216791284867</x:v>
      </x:c>
    </x:row>
    <x:row r="341" ht="20" customHeight="1">
      <x:c r="A341" s="2" t="n">
        <x:v>21</x:v>
      </x:c>
      <x:c r="B341" s="2" t="str">
        <x:v>low</x:v>
      </x:c>
      <x:c r="C341" s="2" t="n">
        <x:v>23</x:v>
      </x:c>
      <x:c r="D341" s="2" t="n">
        <x:v>2</x:v>
      </x:c>
      <x:c r="E341" s="5" t="n">
        <x:v>254231.77782151903</x:v>
      </x:c>
      <x:c r="F341" s="5" t="n">
        <x:v>0</x:v>
      </x:c>
      <x:c r="G341" s="5" t="n">
        <x:v>21394.125256156323</x:v>
      </x:c>
      <x:c r="H341" s="5" t="n">
        <x:v>3807.0618559468026</x:v>
      </x:c>
      <x:c r="I341" s="5" t="n">
        <x:v>427.6540917322002</x:v>
      </x:c>
      <x:c r="J341" s="5" t="n">
        <x:v>0</x:v>
      </x:c>
      <x:c r="K341" s="5" t="n">
        <x:v>232409.99847363052</x:v>
      </x:c>
      <x:c r="L341" s="5" t="n">
        <x:v>182.38485364315022</x:v>
      </x:c>
      <x:c r="M341" s="5" t="n">
        <x:v>0.3073142696984389</x:v>
      </x:c>
      <x:c r="N341" s="5" t="n">
        <x:v>0</x:v>
      </x:c>
      <x:c r="O341" s="5" t="n">
        <x:v>0</x:v>
      </x:c>
      <x:c r="P341" s="5" t="n">
        <x:v>0</x:v>
      </x:c>
      <x:c r="Q341" s="2" t="n">
        <x:v>182.38485364315022</x:v>
      </x:c>
    </x:row>
    <x:row r="342" ht="20" customHeight="1">
      <x:c r="A342" s="2" t="n">
        <x:v>21</x:v>
      </x:c>
      <x:c r="B342" s="2" t="str">
        <x:v>low</x:v>
      </x:c>
      <x:c r="C342" s="2" t="n">
        <x:v>24</x:v>
      </x:c>
      <x:c r="D342" s="2" t="n">
        <x:v>3</x:v>
      </x:c>
      <x:c r="E342" s="5" t="n">
        <x:v>232409.99847363052</x:v>
      </x:c>
      <x:c r="F342" s="5" t="n">
        <x:v>0</x:v>
      </x:c>
      <x:c r="G342" s="5" t="n">
        <x:v>21678.50934699957</x:v>
      </x:c>
      <x:c r="H342" s="5" t="n">
        <x:v>3480.2857758827386</x:v>
      </x:c>
      <x:c r="I342" s="5" t="n">
        <x:v>390.94674811462414</x:v>
      </x:c>
      <x:c r="J342" s="5" t="n">
        <x:v>0</x:v>
      </x:c>
      <x:c r="K342" s="5" t="n">
        <x:v>210340.54237851631</x:v>
      </x:c>
      <x:c r="L342" s="5" t="n">
        <x:v>182.0780563198619</x:v>
      </x:c>
      <x:c r="M342" s="5" t="n">
        <x:v>0.3067973232883151</x:v>
      </x:c>
      <x:c r="N342" s="5" t="n">
        <x:v>0</x:v>
      </x:c>
      <x:c r="O342" s="5" t="n">
        <x:v>0</x:v>
      </x:c>
      <x:c r="P342" s="5" t="n">
        <x:v>0</x:v>
      </x:c>
      <x:c r="Q342" s="2" t="n">
        <x:v>182.0780563198619</x:v>
      </x:c>
    </x:row>
    <x:row r="343" ht="20" customHeight="1">
      <x:c r="A343" s="2" t="n">
        <x:v>21</x:v>
      </x:c>
      <x:c r="B343" s="2" t="str">
        <x:v>low</x:v>
      </x:c>
      <x:c r="C343" s="2" t="n">
        <x:v>25</x:v>
      </x:c>
      <x:c r="D343" s="2" t="n">
        <x:v>4</x:v>
      </x:c>
      <x:c r="E343" s="5" t="n">
        <x:v>210340.54237851631</x:v>
      </x:c>
      <x:c r="F343" s="5" t="n">
        <x:v>0</x:v>
      </x:c>
      <x:c r="G343" s="5" t="n">
        <x:v>21966.673649006225</x:v>
      </x:c>
      <x:c r="H343" s="5" t="n">
        <x:v>3149.800794024227</x:v>
      </x:c>
      <x:c r="I343" s="5" t="n">
        <x:v>353.82277690121566</x:v>
      </x:c>
      <x:c r="J343" s="5" t="n">
        <x:v>115.9875979392622</x:v>
      </x:c>
      <x:c r="K343" s="5" t="n">
        <x:v>188020.0459526089</x:v>
      </x:c>
      <x:c r="L343" s="5" t="n">
        <x:v>181.77177507340616</x:v>
      </x:c>
      <x:c r="M343" s="5" t="n">
        <x:v>0.3062812464557452</x:v>
      </x:c>
      <x:c r="N343" s="5" t="n">
        <x:v>0</x:v>
      </x:c>
      <x:c r="O343" s="5" t="n">
        <x:v>0</x:v>
      </x:c>
      <x:c r="P343" s="5" t="n">
        <x:v>0</x:v>
      </x:c>
      <x:c r="Q343" s="2" t="n">
        <x:v>181.77177507340616</x:v>
      </x:c>
    </x:row>
    <x:row r="344" ht="20" customHeight="1">
      <x:c r="A344" s="2" t="n">
        <x:v>21</x:v>
      </x:c>
      <x:c r="B344" s="2" t="str">
        <x:v>low</x:v>
      </x:c>
      <x:c r="C344" s="2" t="n">
        <x:v>26</x:v>
      </x:c>
      <x:c r="D344" s="2" t="n">
        <x:v>5</x:v>
      </x:c>
      <x:c r="E344" s="5" t="n">
        <x:v>188020.0459526089</x:v>
      </x:c>
      <x:c r="F344" s="5" t="n">
        <x:v>0</x:v>
      </x:c>
      <x:c r="G344" s="5" t="n">
        <x:v>22258.668411106875</x:v>
      </x:c>
      <x:c r="H344" s="5" t="n">
        <x:v>2815.5565414881594</x:v>
      </x:c>
      <x:c r="I344" s="5" t="n">
        <x:v>316.2765200649261</x:v>
      </x:c>
      <x:c r="J344" s="5" t="n">
        <x:v>106.91352293305005</x:v>
      </x:c>
      <x:c r="K344" s="5" t="n">
        <x:v>165445.1010214371</x:v>
      </x:c>
      <x:c r="L344" s="5" t="n">
        <x:v>181.46600903566818</x:v>
      </x:c>
      <x:c r="M344" s="5" t="n">
        <x:v>0.3057660377379759</x:v>
      </x:c>
      <x:c r="N344" s="5" t="n">
        <x:v>0</x:v>
      </x:c>
      <x:c r="O344" s="5" t="n">
        <x:v>0</x:v>
      </x:c>
      <x:c r="P344" s="5" t="n">
        <x:v>0</x:v>
      </x:c>
      <x:c r="Q344" s="2" t="n">
        <x:v>181.46600903566818</x:v>
      </x:c>
    </x:row>
    <x:row r="345" ht="20" customHeight="1">
      <x:c r="A345" s="2" t="n">
        <x:v>21</x:v>
      </x:c>
      <x:c r="B345" s="2" t="str">
        <x:v>low</x:v>
      </x:c>
      <x:c r="C345" s="2" t="n">
        <x:v>27</x:v>
      </x:c>
      <x:c r="D345" s="2" t="n">
        <x:v>6</x:v>
      </x:c>
      <x:c r="E345" s="5" t="n">
        <x:v>165445.1010214371</x:v>
      </x:c>
      <x:c r="F345" s="5" t="n">
        <x:v>0</x:v>
      </x:c>
      <x:c r="G345" s="5" t="n">
        <x:v>22554.54455017231</x:v>
      </x:c>
      <x:c r="H345" s="5" t="n">
        <x:v>2477.5019816529993</x:v>
      </x:c>
      <x:c r="I345" s="5" t="n">
        <x:v>278.30224457045034</x:v>
      </x:c>
      <x:c r="J345" s="5" t="n">
        <x:v>97.73668702865604</x:v>
      </x:c>
      <x:c r="K345" s="5" t="n">
        <x:v>142612.25422669432</x:v>
      </x:c>
      <x:c r="L345" s="5" t="n">
        <x:v>181.16075733999347</x:v>
      </x:c>
      <x:c r="M345" s="5" t="n">
        <x:v>0.30525169567471433</x:v>
      </x:c>
      <x:c r="N345" s="5" t="n">
        <x:v>0</x:v>
      </x:c>
      <x:c r="O345" s="5" t="n">
        <x:v>0</x:v>
      </x:c>
      <x:c r="P345" s="5" t="n">
        <x:v>0</x:v>
      </x:c>
      <x:c r="Q345" s="2" t="n">
        <x:v>181.16075733999347</x:v>
      </x:c>
    </x:row>
    <x:row r="346" ht="20" customHeight="1">
      <x:c r="A346" s="2" t="n">
        <x:v>21</x:v>
      </x:c>
      <x:c r="B346" s="2" t="str">
        <x:v>low</x:v>
      </x:c>
      <x:c r="C346" s="2" t="n">
        <x:v>28</x:v>
      </x:c>
      <x:c r="D346" s="2" t="n">
        <x:v>7</x:v>
      </x:c>
      <x:c r="E346" s="5" t="n">
        <x:v>142612.25422669432</x:v>
      </x:c>
      <x:c r="F346" s="5" t="n">
        <x:v>0</x:v>
      </x:c>
      <x:c r="G346" s="5" t="n">
        <x:v>22854.353659892207</x:v>
      </x:c>
      <x:c r="H346" s="5" t="n">
        <x:v>2135.585401279762</x:v>
      </x:c>
      <x:c r="I346" s="5" t="n">
        <x:v>239.89414137683104</x:v>
      </x:c>
      <x:c r="J346" s="5" t="n">
        <x:v>88.45569422530392</x:v>
      </x:c>
      <x:c r="K346" s="5" t="n">
        <x:v>119518.00642542528</x:v>
      </x:c>
      <x:c r="L346" s="5" t="n">
        <x:v>180.85601912118534</x:v>
      </x:c>
      <x:c r="M346" s="5" t="n">
        <x:v>0.30473821880812396</x:v>
      </x:c>
      <x:c r="N346" s="5" t="n">
        <x:v>0</x:v>
      </x:c>
      <x:c r="O346" s="5" t="n">
        <x:v>0</x:v>
      </x:c>
      <x:c r="P346" s="5" t="n">
        <x:v>0</x:v>
      </x:c>
      <x:c r="Q346" s="2" t="n">
        <x:v>180.85601912118534</x:v>
      </x:c>
    </x:row>
    <x:row r="347" ht="20" customHeight="1">
      <x:c r="A347" s="2" t="n">
        <x:v>21</x:v>
      </x:c>
      <x:c r="B347" s="2" t="str">
        <x:v>low</x:v>
      </x:c>
      <x:c r="C347" s="2" t="n">
        <x:v>29</x:v>
      </x:c>
      <x:c r="D347" s="2" t="n">
        <x:v>8</x:v>
      </x:c>
      <x:c r="E347" s="5" t="n">
        <x:v>119518.00642542528</x:v>
      </x:c>
      <x:c r="F347" s="5" t="n">
        <x:v>0</x:v>
      </x:c>
      <x:c r="G347" s="5" t="n">
        <x:v>23158.14801977183</x:v>
      </x:c>
      <x:c r="H347" s="5" t="n">
        <x:v>1789.7544015149772</x:v>
      </x:c>
      <x:c r="I347" s="5" t="n">
        <x:v>201.04632442680497</x:v>
      </x:c>
      <x:c r="J347" s="5" t="n">
        <x:v>79.06913001623153</x:v>
      </x:c>
      <x:c r="K347" s="5" t="n">
        <x:v>96158.81208122666</x:v>
      </x:c>
      <x:c r="L347" s="5" t="n">
        <x:v>180.55179351550254</x:v>
      </x:c>
      <x:c r="M347" s="5" t="n">
        <x:v>0.30422560568282075</x:v>
      </x:c>
      <x:c r="N347" s="5" t="n">
        <x:v>0</x:v>
      </x:c>
      <x:c r="O347" s="5" t="n">
        <x:v>0</x:v>
      </x:c>
      <x:c r="P347" s="5" t="n">
        <x:v>0</x:v>
      </x:c>
      <x:c r="Q347" s="2" t="n">
        <x:v>180.55179351550254</x:v>
      </x:c>
    </x:row>
    <x:row r="348" ht="20" customHeight="1">
      <x:c r="A348" s="2" t="n">
        <x:v>21</x:v>
      </x:c>
      <x:c r="B348" s="2" t="str">
        <x:v>low</x:v>
      </x:c>
      <x:c r="C348" s="2" t="n">
        <x:v>30</x:v>
      </x:c>
      <x:c r="D348" s="2" t="n">
        <x:v>9</x:v>
      </x:c>
      <x:c r="E348" s="5" t="n">
        <x:v>96158.81208122666</x:v>
      </x:c>
      <x:c r="F348" s="5" t="n">
        <x:v>0</x:v>
      </x:c>
      <x:c r="G348" s="5" t="n">
        <x:v>23465.980604248307</x:v>
      </x:c>
      <x:c r="H348" s="5" t="n">
        <x:v>1439.955888774059</x:v>
      </x:c>
      <x:c r="I348" s="5" t="n">
        <x:v>161.75282962271578</x:v>
      </x:c>
      <x:c r="J348" s="5" t="n">
        <x:v>69.57556114261259</x:v>
      </x:c>
      <x:c r="K348" s="5" t="n">
        <x:v>72531.07864735564</x:v>
      </x:c>
      <x:c r="L348" s="5" t="n">
        <x:v>180.24807966065666</x:v>
      </x:c>
      <x:c r="M348" s="5" t="n">
        <x:v>0.30371385484586877</x:v>
      </x:c>
      <x:c r="N348" s="5" t="n">
        <x:v>0</x:v>
      </x:c>
      <x:c r="O348" s="5" t="n">
        <x:v>0</x:v>
      </x:c>
      <x:c r="P348" s="5" t="n">
        <x:v>0</x:v>
      </x:c>
      <x:c r="Q348" s="2" t="n">
        <x:v>180.24807966065666</x:v>
      </x:c>
    </x:row>
    <x:row r="349" ht="20" customHeight="1">
      <x:c r="A349" s="2" t="n">
        <x:v>21</x:v>
      </x:c>
      <x:c r="B349" s="2" t="str">
        <x:v>low</x:v>
      </x:c>
      <x:c r="C349" s="2" t="n">
        <x:v>31</x:v>
      </x:c>
      <x:c r="D349" s="2" t="n">
        <x:v>10</x:v>
      </x:c>
      <x:c r="E349" s="5" t="n">
        <x:v>72531.07864735564</x:v>
      </x:c>
      <x:c r="F349" s="5" t="n">
        <x:v>0</x:v>
      </x:c>
      <x:c r="G349" s="5" t="n">
        <x:v>23777.90509192812</x:v>
      </x:c>
      <x:c r="H349" s="5" t="n">
        <x:v>1086.1360655035023</x:v>
      </x:c>
      <x:c r="I349" s="5" t="n">
        <x:v>122.00761378881474</x:v>
      </x:c>
      <x:c r="J349" s="5" t="n">
        <x:v>59.97353534420776</x:v>
      </x:c>
      <x:c r="K349" s="5" t="n">
        <x:v>48631.16594163869</x:v>
      </x:c>
      <x:c r="L349" s="5" t="n">
        <x:v>179.94487669580988</x:v>
      </x:c>
      <x:c r="M349" s="5" t="n">
        <x:v>0.30320296484677595</x:v>
      </x:c>
      <x:c r="N349" s="5" t="n">
        <x:v>0</x:v>
      </x:c>
      <x:c r="O349" s="5" t="n">
        <x:v>0</x:v>
      </x:c>
      <x:c r="P349" s="5" t="n">
        <x:v>0</x:v>
      </x:c>
      <x:c r="Q349" s="2" t="n">
        <x:v>179.94487669580988</x:v>
      </x:c>
    </x:row>
    <x:row r="350" ht="20" customHeight="1">
      <x:c r="A350" s="2" t="n">
        <x:v>21</x:v>
      </x:c>
      <x:c r="B350" s="2" t="str">
        <x:v>low</x:v>
      </x:c>
      <x:c r="C350" s="2" t="n">
        <x:v>32</x:v>
      </x:c>
      <x:c r="D350" s="2" t="n">
        <x:v>11</x:v>
      </x:c>
      <x:c r="E350" s="5" t="n">
        <x:v>48631.16594163869</x:v>
      </x:c>
      <x:c r="F350" s="5" t="n">
        <x:v>0</x:v>
      </x:c>
      <x:c r="G350" s="5" t="n">
        <x:v>24093.97587494736</x:v>
      </x:c>
      <x:c r="H350" s="5" t="n">
        <x:v>728.2404208202839</x:v>
      </x:c>
      <x:c r="I350" s="5" t="n">
        <x:v>81.80455361976801</x:v>
      </x:c>
      <x:c r="J350" s="5" t="n">
        <x:v>50.26158110670124</x:v>
      </x:c>
      <x:c r="K350" s="5" t="n">
        <x:v>24455.385513071567</x:v>
      </x:c>
      <x:c r="L350" s="5" t="n">
        <x:v>179.6421837615724</x:v>
      </x:c>
      <x:c r="M350" s="5" t="n">
        <x:v>0.3026929342374904</x:v>
      </x:c>
      <x:c r="N350" s="5" t="n">
        <x:v>0</x:v>
      </x:c>
      <x:c r="O350" s="5" t="n">
        <x:v>0</x:v>
      </x:c>
      <x:c r="P350" s="5" t="n">
        <x:v>0</x:v>
      </x:c>
      <x:c r="Q350" s="2" t="n">
        <x:v>179.6421837615724</x:v>
      </x:c>
    </x:row>
    <x:row r="351" ht="20" customHeight="1">
      <x:c r="A351" s="2" t="n">
        <x:v>21</x:v>
      </x:c>
      <x:c r="B351" s="2" t="str">
        <x:v>low</x:v>
      </x:c>
      <x:c r="C351" s="2" t="n">
        <x:v>33</x:v>
      </x:c>
      <x:c r="D351" s="2" t="n">
        <x:v>12</x:v>
      </x:c>
      <x:c r="E351" s="5" t="n">
        <x:v>24455.385513071567</x:v>
      </x:c>
      <x:c r="F351" s="5" t="n">
        <x:v>0</x:v>
      </x:c>
      <x:c r="G351" s="5" t="n">
        <x:v>24414.24806845638</x:v>
      </x:c>
      <x:c r="H351" s="5" t="n">
        <x:v>366.2137210268457</x:v>
      </x:c>
      <x:c r="I351" s="5" t="n">
        <x:v>41.13744461518763</x:v>
      </x:c>
      <x:c r="J351" s="5" t="n">
        <x:v>40.438207405678945</x:v>
      </x:c>
      <x:c r="K351" s="5" t="n">
        <x:v>0</x:v>
      </x:c>
      <x:c r="L351" s="5" t="n">
        <x:v>0</x:v>
      </x:c>
      <x:c r="M351" s="5" t="n">
        <x:v>0.3021837615723959</x:v>
      </x:c>
      <x:c r="N351" s="5" t="n">
        <x:v>0</x:v>
      </x:c>
      <x:c r="O351" s="5" t="n">
        <x:v>0</x:v>
      </x:c>
      <x:c r="P351" s="5" t="n">
        <x:v>0</x:v>
      </x:c>
      <x:c r="Q351" s="2" t="n">
        <x:v>179.34</x:v>
      </x:c>
    </x:row>
    <x:row r="352" ht="20" customHeight="1">
      <x:c r="A352" s="2" t="n">
        <x:v>21</x:v>
      </x:c>
      <x:c r="B352" s="2" t="str">
        <x:v>low</x:v>
      </x:c>
      <x:c r="C352" s="2" t="n">
        <x:v>34</x:v>
      </x:c>
      <x:c r="D352" s="2" t="n">
        <x:v>13</x:v>
      </x:c>
      <x:c r="E352" s="5" t="n">
        <x:v>0</x:v>
      </x:c>
      <x:c r="F352" s="5" t="n">
        <x:v>0</x:v>
      </x:c>
      <x:c r="G352" s="5" t="n">
        <x:v>0</x:v>
      </x:c>
      <x:c r="H352" s="5" t="n">
        <x:v>0</x:v>
      </x:c>
      <x:c r="I352" s="5" t="n">
        <x:v>0</x:v>
      </x:c>
      <x:c r="J352" s="5" t="n">
        <x:v>30.501903447203684</x:v>
      </x:c>
      <x:c r="K352" s="5" t="n">
        <x:v>0</x:v>
      </x:c>
      <x:c r="L352" s="5" t="n">
        <x:v>0</x:v>
      </x:c>
      <x:c r="M352" s="5" t="n">
        <x:v>0</x:v>
      </x:c>
      <x:c r="N352" s="5" t="n">
        <x:v>0</x:v>
      </x:c>
      <x:c r="O352" s="5" t="n">
        <x:v>0</x:v>
      </x:c>
      <x:c r="P352" s="5" t="n">
        <x:v>0</x:v>
      </x:c>
      <x:c r="Q352" s="2" t="n">
        <x:v>0</x:v>
      </x:c>
    </x:row>
    <x:row r="353" ht="20" customHeight="1">
      <x:c r="A353" s="2" t="n">
        <x:v>21</x:v>
      </x:c>
      <x:c r="B353" s="2" t="str">
        <x:v>low</x:v>
      </x:c>
      <x:c r="C353" s="2" t="n">
        <x:v>35</x:v>
      </x:c>
      <x:c r="D353" s="2" t="n">
        <x:v>14</x:v>
      </x:c>
      <x:c r="E353" s="5" t="n">
        <x:v>0</x:v>
      </x:c>
      <x:c r="F353" s="5" t="n">
        <x:v>0</x:v>
      </x:c>
      <x:c r="G353" s="5" t="n">
        <x:v>0</x:v>
      </x:c>
      <x:c r="H353" s="5" t="n">
        <x:v>0</x:v>
      </x:c>
      <x:c r="I353" s="5" t="n">
        <x:v>0</x:v>
      </x:c>
      <x:c r="J353" s="5" t="n">
        <x:v>20.451138404942004</x:v>
      </x:c>
      <x:c r="K353" s="5" t="n">
        <x:v>0</x:v>
      </x:c>
      <x:c r="L353" s="5" t="n">
        <x:v>0</x:v>
      </x:c>
      <x:c r="M353" s="5" t="n">
        <x:v>0</x:v>
      </x:c>
      <x:c r="N353" s="5" t="n">
        <x:v>0</x:v>
      </x:c>
      <x:c r="O353" s="5" t="n">
        <x:v>0</x:v>
      </x:c>
      <x:c r="P353" s="5" t="n">
        <x:v>0</x:v>
      </x:c>
      <x:c r="Q353" s="2" t="n">
        <x:v>0</x:v>
      </x:c>
    </x:row>
    <x:row r="354" ht="20" customHeight="1">
      <x:c r="A354" s="2" t="n">
        <x:v>21</x:v>
      </x:c>
      <x:c r="B354" s="2" t="str">
        <x:v>low</x:v>
      </x:c>
      <x:c r="C354" s="2" t="n">
        <x:v>36</x:v>
      </x:c>
      <x:c r="D354" s="2" t="n">
        <x:v>15</x:v>
      </x:c>
      <x:c r="E354" s="5" t="n">
        <x:v>0</x:v>
      </x:c>
      <x:c r="F354" s="5" t="n">
        <x:v>0</x:v>
      </x:c>
      <x:c r="G354" s="5" t="n">
        <x:v>0</x:v>
      </x:c>
      <x:c r="H354" s="5" t="n">
        <x:v>0</x:v>
      </x:c>
      <x:c r="I354" s="5" t="n">
        <x:v>0</x:v>
      </x:c>
      <x:c r="J354" s="5" t="n">
        <x:v>10.284361153796908</x:v>
      </x:c>
      <x:c r="K354" s="5" t="n">
        <x:v>0</x:v>
      </x:c>
      <x:c r="L354" s="5" t="n">
        <x:v>0</x:v>
      </x:c>
      <x:c r="M354" s="5" t="n">
        <x:v>0</x:v>
      </x:c>
      <x:c r="N354" s="5" t="n">
        <x:v>0</x:v>
      </x:c>
      <x:c r="O354" s="5" t="n">
        <x:v>0</x:v>
      </x:c>
      <x:c r="P354" s="5" t="n">
        <x:v>0</x:v>
      </x:c>
      <x:c r="Q354" s="2" t="n">
        <x:v>0</x:v>
      </x:c>
    </x:row>
    <x:row r="355" ht="20" customHeight="1">
      <x:c r="A355" s="2" t="n">
        <x:v>22</x:v>
      </x:c>
      <x:c r="B355" s="2" t="str">
        <x:v>low</x:v>
      </x:c>
      <x:c r="C355" s="2" t="n">
        <x:v>22</x:v>
      </x:c>
      <x:c r="D355" s="2" t="n">
        <x:v>0</x:v>
      </x:c>
      <x:c r="E355" s="5" t="n">
        <x:v>0</x:v>
      </x:c>
      <x:c r="F355" s="5" t="n">
        <x:v>296544.49</x:v>
      </x:c>
      <x:c r="G355" s="5" t="n">
        <x:v>0</x:v>
      </x:c>
      <x:c r="H355" s="5" t="n">
        <x:v>0</x:v>
      </x:c>
      <x:c r="I355" s="5" t="n">
        <x:v>0</x:v>
      </x:c>
      <x:c r="J355" s="5" t="n">
        <x:v>0</x:v>
      </x:c>
      <x:c r="K355" s="5" t="n">
        <x:v>296544.49</x:v>
      </x:c>
      <x:c r="L355" s="5" t="n">
        <x:v>199</x:v>
      </x:c>
      <x:c r="M355" s="5" t="n">
        <x:v>0</x:v>
      </x:c>
      <x:c r="N355" s="5" t="n">
        <x:v>199</x:v>
      </x:c>
      <x:c r="O355" s="5" t="n">
        <x:v>5930.8898</x:v>
      </x:c>
      <x:c r="P355" s="5" t="n">
        <x:v>4975</x:v>
      </x:c>
      <x:c r="Q355" s="2" t="n">
        <x:v>0</x:v>
      </x:c>
    </x:row>
    <x:row r="356" ht="20" customHeight="1">
      <x:c r="A356" s="2" t="n">
        <x:v>22</x:v>
      </x:c>
      <x:c r="B356" s="2" t="str">
        <x:v>low</x:v>
      </x:c>
      <x:c r="C356" s="2" t="n">
        <x:v>23</x:v>
      </x:c>
      <x:c r="D356" s="2" t="n">
        <x:v>1</x:v>
      </x:c>
      <x:c r="E356" s="5" t="n">
        <x:v>296544.49</x:v>
      </x:c>
      <x:c r="F356" s="5" t="n">
        <x:v>0</x:v>
      </x:c>
      <x:c r="G356" s="5" t="n">
        <x:v>22700.77910063707</x:v>
      </x:c>
      <x:c r="H356" s="5" t="n">
        <x:v>4440.684898418858</x:v>
      </x:c>
      <x:c r="I356" s="5" t="n">
        <x:v>498.8301054094433</x:v>
      </x:c>
      <x:c r="J356" s="5" t="n">
        <x:v>0</x:v>
      </x:c>
      <x:c r="K356" s="5" t="n">
        <x:v>273344.8807939535</x:v>
      </x:c>
      <x:c r="L356" s="5" t="n">
        <x:v>198.66525363200483</x:v>
      </x:c>
      <x:c r="M356" s="5" t="n">
        <x:v>0.3347463679951673</x:v>
      </x:c>
      <x:c r="N356" s="5" t="n">
        <x:v>0</x:v>
      </x:c>
      <x:c r="O356" s="5" t="n">
        <x:v>0</x:v>
      </x:c>
      <x:c r="P356" s="5" t="n">
        <x:v>0</x:v>
      </x:c>
      <x:c r="Q356" s="2" t="n">
        <x:v>198.66525363200483</x:v>
      </x:c>
    </x:row>
    <x:row r="357" ht="20" customHeight="1">
      <x:c r="A357" s="2" t="n">
        <x:v>22</x:v>
      </x:c>
      <x:c r="B357" s="2" t="str">
        <x:v>low</x:v>
      </x:c>
      <x:c r="C357" s="2" t="n">
        <x:v>24</x:v>
      </x:c>
      <x:c r="D357" s="2" t="n">
        <x:v>2</x:v>
      </x:c>
      <x:c r="E357" s="5" t="n">
        <x:v>273344.8807939535</x:v>
      </x:c>
      <x:c r="F357" s="5" t="n">
        <x:v>0</x:v>
      </x:c>
      <x:c r="G357" s="5" t="n">
        <x:v>23002.532051443523</x:v>
      </x:c>
      <x:c r="H357" s="5" t="n">
        <x:v>4093.276136075947</x:v>
      </x:c>
      <x:c r="I357" s="5" t="n">
        <x:v>459.8050555570247</x:v>
      </x:c>
      <x:c r="J357" s="5" t="n">
        <x:v>0</x:v>
      </x:c>
      <x:c r="K357" s="5" t="n">
        <x:v>249882.54368695294</x:v>
      </x:c>
      <x:c r="L357" s="5" t="n">
        <x:v>198.33107035511964</x:v>
      </x:c>
      <x:c r="M357" s="5" t="n">
        <x:v>0.3341832768851877</x:v>
      </x:c>
      <x:c r="N357" s="5" t="n">
        <x:v>0</x:v>
      </x:c>
      <x:c r="O357" s="5" t="n">
        <x:v>0</x:v>
      </x:c>
      <x:c r="P357" s="5" t="n">
        <x:v>0</x:v>
      </x:c>
      <x:c r="Q357" s="2" t="n">
        <x:v>198.33107035511964</x:v>
      </x:c>
    </x:row>
    <x:row r="358" ht="20" customHeight="1">
      <x:c r="A358" s="2" t="n">
        <x:v>22</x:v>
      </x:c>
      <x:c r="B358" s="2" t="str">
        <x:v>low</x:v>
      </x:c>
      <x:c r="C358" s="2" t="n">
        <x:v>25</x:v>
      </x:c>
      <x:c r="D358" s="2" t="n">
        <x:v>3</x:v>
      </x:c>
      <x:c r="E358" s="5" t="n">
        <x:v>249882.54368695294</x:v>
      </x:c>
      <x:c r="F358" s="5" t="n">
        <x:v>0</x:v>
      </x:c>
      <x:c r="G358" s="5" t="n">
        <x:v>23308.29609116092</x:v>
      </x:c>
      <x:c r="H358" s="5" t="n">
        <x:v>3741.933084405455</x:v>
      </x:c>
      <x:c r="I358" s="5" t="n">
        <x:v>420.33805992261927</x:v>
      </x:c>
      <x:c r="J358" s="5" t="n">
        <x:v>0</x:v>
      </x:c>
      <x:c r="K358" s="5" t="n">
        <x:v>226153.9095358694</x:v>
      </x:c>
      <x:c r="L358" s="5" t="n">
        <x:v>197.99744922214492</x:v>
      </x:c>
      <x:c r="M358" s="5" t="n">
        <x:v>0.3336211329747252</x:v>
      </x:c>
      <x:c r="N358" s="5" t="n">
        <x:v>0</x:v>
      </x:c>
      <x:c r="O358" s="5" t="n">
        <x:v>0</x:v>
      </x:c>
      <x:c r="P358" s="5" t="n">
        <x:v>0</x:v>
      </x:c>
      <x:c r="Q358" s="2" t="n">
        <x:v>197.99744922214492</x:v>
      </x:c>
    </x:row>
    <x:row r="359" ht="20" customHeight="1">
      <x:c r="A359" s="2" t="n">
        <x:v>22</x:v>
      </x:c>
      <x:c r="B359" s="2" t="str">
        <x:v>low</x:v>
      </x:c>
      <x:c r="C359" s="2" t="n">
        <x:v>26</x:v>
      </x:c>
      <x:c r="D359" s="2" t="n">
        <x:v>4</x:v>
      </x:c>
      <x:c r="E359" s="5" t="n">
        <x:v>226153.9095358694</x:v>
      </x:c>
      <x:c r="F359" s="5" t="n">
        <x:v>0</x:v>
      </x:c>
      <x:c r="G359" s="5" t="n">
        <x:v>23618.124537691237</x:v>
      </x:c>
      <x:c r="H359" s="5" t="n">
        <x:v>3386.6022963175606</x:v>
      </x:c>
      <x:c r="I359" s="5" t="n">
        <x:v>380.4231146986931</x:v>
      </x:c>
      <x:c r="J359" s="5" t="n">
        <x:v>124.70752635236083</x:v>
      </x:c>
      <x:c r="K359" s="5" t="n">
        <x:v>202155.36188347946</x:v>
      </x:c>
      <x:c r="L359" s="5" t="n">
        <x:v>197.66438928747448</x:v>
      </x:c>
      <x:c r="M359" s="5" t="n">
        <x:v>0.3330599346704552</x:v>
      </x:c>
      <x:c r="N359" s="5" t="n">
        <x:v>0</x:v>
      </x:c>
      <x:c r="O359" s="5" t="n">
        <x:v>0</x:v>
      </x:c>
      <x:c r="P359" s="5" t="n">
        <x:v>0</x:v>
      </x:c>
      <x:c r="Q359" s="2" t="n">
        <x:v>197.66438928747448</x:v>
      </x:c>
    </x:row>
    <x:row r="360" ht="20" customHeight="1">
      <x:c r="A360" s="2" t="n">
        <x:v>22</x:v>
      </x:c>
      <x:c r="B360" s="2" t="str">
        <x:v>low</x:v>
      </x:c>
      <x:c r="C360" s="2" t="n">
        <x:v>27</x:v>
      </x:c>
      <x:c r="D360" s="2" t="n">
        <x:v>5</x:v>
      </x:c>
      <x:c r="E360" s="5" t="n">
        <x:v>202155.36188347946</x:v>
      </x:c>
      <x:c r="F360" s="5" t="n">
        <x:v>0</x:v>
      </x:c>
      <x:c r="G360" s="5" t="n">
        <x:v>23932.07141767134</x:v>
      </x:c>
      <x:c r="H360" s="5" t="n">
        <x:v>3027.2296162048624</x:v>
      </x:c>
      <x:c r="I360" s="5" t="n">
        <x:v>340.05413648866056</x:v>
      </x:c>
      <x:c r="J360" s="5" t="n">
        <x:v>114.95126388925617</x:v>
      </x:c>
      <x:c r="K360" s="5" t="n">
        <x:v>177883.23632931948</x:v>
      </x:c>
      <x:c r="L360" s="5" t="n">
        <x:v>197.33188960709273</x:v>
      </x:c>
      <x:c r="M360" s="5" t="n">
        <x:v>0.3324996803817334</x:v>
      </x:c>
      <x:c r="N360" s="5" t="n">
        <x:v>0</x:v>
      </x:c>
      <x:c r="O360" s="5" t="n">
        <x:v>0</x:v>
      </x:c>
      <x:c r="P360" s="5" t="n">
        <x:v>0</x:v>
      </x:c>
      <x:c r="Q360" s="2" t="n">
        <x:v>197.33188960709273</x:v>
      </x:c>
    </x:row>
    <x:row r="361" ht="20" customHeight="1">
      <x:c r="A361" s="2" t="n">
        <x:v>22</x:v>
      </x:c>
      <x:c r="B361" s="2" t="str">
        <x:v>low</x:v>
      </x:c>
      <x:c r="C361" s="2" t="n">
        <x:v>28</x:v>
      </x:c>
      <x:c r="D361" s="2" t="n">
        <x:v>6</x:v>
      </x:c>
      <x:c r="E361" s="5" t="n">
        <x:v>177883.23632931948</x:v>
      </x:c>
      <x:c r="F361" s="5" t="n">
        <x:v>0</x:v>
      </x:c>
      <x:c r="G361" s="5" t="n">
        <x:v>24250.191475893942</x:v>
      </x:c>
      <x:c r="H361" s="5" t="n">
        <x:v>2663.7601705210636</x:v>
      </x:c>
      <x:c r="I361" s="5" t="n">
        <x:v>299.22496124857133</x:v>
      </x:c>
      <x:c r="J361" s="5" t="n">
        <x:v>105.08451498065482</x:v>
      </x:c>
      <x:c r="K361" s="5" t="n">
        <x:v>153333.81989217695</x:v>
      </x:c>
      <x:c r="L361" s="5" t="n">
        <x:v>196.99994923857213</x:v>
      </x:c>
      <x:c r="M361" s="5" t="n">
        <x:v>0.33194036852059094</x:v>
      </x:c>
      <x:c r="N361" s="5" t="n">
        <x:v>0</x:v>
      </x:c>
      <x:c r="O361" s="5" t="n">
        <x:v>0</x:v>
      </x:c>
      <x:c r="P361" s="5" t="n">
        <x:v>0</x:v>
      </x:c>
      <x:c r="Q361" s="2" t="n">
        <x:v>196.99994923857213</x:v>
      </x:c>
    </x:row>
    <x:row r="362" ht="20" customHeight="1">
      <x:c r="A362" s="2" t="n">
        <x:v>22</x:v>
      </x:c>
      <x:c r="B362" s="2" t="str">
        <x:v>low</x:v>
      </x:c>
      <x:c r="C362" s="2" t="n">
        <x:v>29</x:v>
      </x:c>
      <x:c r="D362" s="2" t="n">
        <x:v>7</x:v>
      </x:c>
      <x:c r="E362" s="5" t="n">
        <x:v>153333.81989217695</x:v>
      </x:c>
      <x:c r="F362" s="5" t="n">
        <x:v>0</x:v>
      </x:c>
      <x:c r="G362" s="5" t="n">
        <x:v>24572.540184853762</x:v>
      </x:c>
      <x:c r="H362" s="5" t="n">
        <x:v>2296.1383582344333</x:v>
      </x:c>
      <x:c r="I362" s="5" t="n">
        <x:v>257.9293432147305</x:v>
      </x:c>
      <x:c r="J362" s="5" t="n">
        <x:v>95.10577867467327</x:v>
      </x:c>
      <x:c r="K362" s="5" t="n">
        <x:v>128503.35036410847</x:v>
      </x:c>
      <x:c r="L362" s="5" t="n">
        <x:v>196.6685672410704</x:v>
      </x:c>
      <x:c r="M362" s="5" t="n">
        <x:v>0.3313819975017304</x:v>
      </x:c>
      <x:c r="N362" s="5" t="n">
        <x:v>0</x:v>
      </x:c>
      <x:c r="O362" s="5" t="n">
        <x:v>0</x:v>
      </x:c>
      <x:c r="P362" s="5" t="n">
        <x:v>0</x:v>
      </x:c>
      <x:c r="Q362" s="2" t="n">
        <x:v>196.6685672410704</x:v>
      </x:c>
    </x:row>
    <x:row r="363" ht="20" customHeight="1">
      <x:c r="A363" s="2" t="n">
        <x:v>22</x:v>
      </x:c>
      <x:c r="B363" s="2" t="str">
        <x:v>low</x:v>
      </x:c>
      <x:c r="C363" s="2" t="n">
        <x:v>30</x:v>
      </x:c>
      <x:c r="D363" s="2" t="n">
        <x:v>8</x:v>
      </x:c>
      <x:c r="E363" s="5" t="n">
        <x:v>128503.35036410847</x:v>
      </x:c>
      <x:c r="F363" s="5" t="n">
        <x:v>0</x:v>
      </x:c>
      <x:c r="G363" s="5" t="n">
        <x:v>24899.173754420615</x:v>
      </x:c>
      <x:c r="H363" s="5" t="n">
        <x:v>1924.307841154371</x:v>
      </x:c>
      <x:c r="I363" s="5" t="n">
        <x:v>216.16095381706418</x:v>
      </x:c>
      <x:c r="J363" s="5" t="n">
        <x:v>85.01353412216514</x:v>
      </x:c>
      <x:c r="K363" s="5" t="n">
        <x:v>103388.01565587078</x:v>
      </x:c>
      <x:c r="L363" s="5" t="n">
        <x:v>196.3377426753279</x:v>
      </x:c>
      <x:c r="M363" s="5" t="n">
        <x:v>0.33082456574252095</x:v>
      </x:c>
      <x:c r="N363" s="5" t="n">
        <x:v>0</x:v>
      </x:c>
      <x:c r="O363" s="5" t="n">
        <x:v>0</x:v>
      </x:c>
      <x:c r="P363" s="5" t="n">
        <x:v>0</x:v>
      </x:c>
      <x:c r="Q363" s="2" t="n">
        <x:v>196.3377426753279</x:v>
      </x:c>
    </x:row>
    <x:row r="364" ht="20" customHeight="1">
      <x:c r="A364" s="2" t="n">
        <x:v>22</x:v>
      </x:c>
      <x:c r="B364" s="2" t="str">
        <x:v>low</x:v>
      </x:c>
      <x:c r="C364" s="2" t="n">
        <x:v>31</x:v>
      </x:c>
      <x:c r="D364" s="2" t="n">
        <x:v>9</x:v>
      </x:c>
      <x:c r="E364" s="5" t="n">
        <x:v>103388.01565587078</x:v>
      </x:c>
      <x:c r="F364" s="5" t="n">
        <x:v>0</x:v>
      </x:c>
      <x:c r="G364" s="5" t="n">
        <x:v>25230.149141641054</x:v>
      </x:c>
      <x:c r="H364" s="5" t="n">
        <x:v>1548.211534129391</x:v>
      </x:c>
      <x:c r="I364" s="5" t="n">
        <x:v>173.91338057804143</x:v>
      </x:c>
      <x:c r="J364" s="5" t="n">
        <x:v>74.80624031214283</x:v>
      </x:c>
      <x:c r="K364" s="5" t="n">
        <x:v>77983.95313365168</x:v>
      </x:c>
      <x:c r="L364" s="5" t="n">
        <x:v>196.0074746036649</x:v>
      </x:c>
      <x:c r="M364" s="5" t="n">
        <x:v>0.3302680716629939</x:v>
      </x:c>
      <x:c r="N364" s="5" t="n">
        <x:v>0</x:v>
      </x:c>
      <x:c r="O364" s="5" t="n">
        <x:v>0</x:v>
      </x:c>
      <x:c r="P364" s="5" t="n">
        <x:v>0</x:v>
      </x:c>
      <x:c r="Q364" s="2" t="n">
        <x:v>196.0074746036649</x:v>
      </x:c>
    </x:row>
    <x:row r="365" ht="20" customHeight="1">
      <x:c r="A365" s="2" t="n">
        <x:v>22</x:v>
      </x:c>
      <x:c r="B365" s="2" t="str">
        <x:v>low</x:v>
      </x:c>
      <x:c r="C365" s="2" t="n">
        <x:v>32</x:v>
      </x:c>
      <x:c r="D365" s="2" t="n">
        <x:v>10</x:v>
      </x:c>
      <x:c r="E365" s="5" t="n">
        <x:v>77983.95313365168</x:v>
      </x:c>
      <x:c r="F365" s="5" t="n">
        <x:v>0</x:v>
      </x:c>
      <x:c r="G365" s="5" t="n">
        <x:v>25565.524060670305</x:v>
      </x:c>
      <x:c r="H365" s="5" t="n">
        <x:v>1167.791595114821</x:v>
      </x:c>
      <x:c r="I365" s="5" t="n">
        <x:v>131.18012599696107</x:v>
      </x:c>
      <x:c r="J365" s="5" t="n">
        <x:v>64.48233580368263</x:v>
      </x:c>
      <x:c r="K365" s="5" t="n">
        <x:v>52287.24894698442</x:v>
      </x:c>
      <x:c r="L365" s="5" t="n">
        <x:v>195.67776208997907</x:v>
      </x:c>
      <x:c r="M365" s="5" t="n">
        <x:v>0.3297125136858383</x:v>
      </x:c>
      <x:c r="N365" s="5" t="n">
        <x:v>0</x:v>
      </x:c>
      <x:c r="O365" s="5" t="n">
        <x:v>0</x:v>
      </x:c>
      <x:c r="P365" s="5" t="n">
        <x:v>0</x:v>
      </x:c>
      <x:c r="Q365" s="2" t="n">
        <x:v>195.67776208997907</x:v>
      </x:c>
    </x:row>
    <x:row r="366" ht="20" customHeight="1">
      <x:c r="A366" s="2" t="n">
        <x:v>22</x:v>
      </x:c>
      <x:c r="B366" s="2" t="str">
        <x:v>low</x:v>
      </x:c>
      <x:c r="C366" s="2" t="n">
        <x:v>33</x:v>
      </x:c>
      <x:c r="D366" s="2" t="n">
        <x:v>11</x:v>
      </x:c>
      <x:c r="E366" s="5" t="n">
        <x:v>52287.24894698442</x:v>
      </x:c>
      <x:c r="F366" s="5" t="n">
        <x:v>0</x:v>
      </x:c>
      <x:c r="G366" s="5" t="n">
        <x:v>25905.356992836234</x:v>
      </x:c>
      <x:c r="H366" s="5" t="n">
        <x:v>782.9894151084752</x:v>
      </x:c>
      <x:c r="I366" s="5" t="n">
        <x:v>87.95460641940791</x:v>
      </x:c>
      <x:c r="J366" s="5" t="n">
        <x:v>54.040238454266046</x:v>
      </x:c>
      <x:c r="K366" s="5" t="n">
        <x:v>26293.93734772878</x:v>
      </x:c>
      <x:c r="L366" s="5" t="n">
        <x:v>195.34860419974265</x:v>
      </x:c>
      <x:c r="M366" s="5" t="n">
        <x:v>0.32915789023639663</x:v>
      </x:c>
      <x:c r="N366" s="5" t="n">
        <x:v>0</x:v>
      </x:c>
      <x:c r="O366" s="5" t="n">
        <x:v>0</x:v>
      </x:c>
      <x:c r="P366" s="5" t="n">
        <x:v>0</x:v>
      </x:c>
      <x:c r="Q366" s="2" t="n">
        <x:v>195.34860419974265</x:v>
      </x:c>
    </x:row>
    <x:row r="367" ht="20" customHeight="1">
      <x:c r="A367" s="2" t="n">
        <x:v>22</x:v>
      </x:c>
      <x:c r="B367" s="2" t="str">
        <x:v>low</x:v>
      </x:c>
      <x:c r="C367" s="2" t="n">
        <x:v>34</x:v>
      </x:c>
      <x:c r="D367" s="2" t="n">
        <x:v>12</x:v>
      </x:c>
      <x:c r="E367" s="5" t="n">
        <x:v>26293.93734772878</x:v>
      </x:c>
      <x:c r="F367" s="5" t="n">
        <x:v>0</x:v>
      </x:c>
      <x:c r="G367" s="5" t="n">
        <x:v>26249.7071968371</x:v>
      </x:c>
      <x:c r="H367" s="5" t="n">
        <x:v>393.74560795255644</x:v>
      </x:c>
      <x:c r="I367" s="5" t="n">
        <x:v>44.23015089168187</x:v>
      </x:c>
      <x:c r="J367" s="5" t="n">
        <x:v>43.47834514451036</x:v>
      </x:c>
      <x:c r="K367" s="5" t="n">
        <x:v>0</x:v>
      </x:c>
      <x:c r="L367" s="5" t="n">
        <x:v>0</x:v>
      </x:c>
      <x:c r="M367" s="5" t="n">
        <x:v>0.32860419974266003</x:v>
      </x:c>
      <x:c r="N367" s="5" t="n">
        <x:v>0</x:v>
      </x:c>
      <x:c r="O367" s="5" t="n">
        <x:v>0</x:v>
      </x:c>
      <x:c r="P367" s="5" t="n">
        <x:v>0</x:v>
      </x:c>
      <x:c r="Q367" s="2" t="n">
        <x:v>195.02</x:v>
      </x:c>
    </x:row>
    <x:row r="368" ht="20" customHeight="1">
      <x:c r="A368" s="2" t="n">
        <x:v>22</x:v>
      </x:c>
      <x:c r="B368" s="2" t="str">
        <x:v>low</x:v>
      </x:c>
      <x:c r="C368" s="2" t="n">
        <x:v>35</x:v>
      </x:c>
      <x:c r="D368" s="2" t="n">
        <x:v>13</x:v>
      </x:c>
      <x:c r="E368" s="5" t="n">
        <x:v>0</x:v>
      </x:c>
      <x:c r="F368" s="5" t="n">
        <x:v>0</x:v>
      </x:c>
      <x:c r="G368" s="5" t="n">
        <x:v>0</x:v>
      </x:c>
      <x:c r="H368" s="5" t="n">
        <x:v>0</x:v>
      </x:c>
      <x:c r="I368" s="5" t="n">
        <x:v>0</x:v>
      </x:c>
      <x:c r="J368" s="5" t="n">
        <x:v>32.79503149924027</x:v>
      </x:c>
      <x:c r="K368" s="5" t="n">
        <x:v>0</x:v>
      </x:c>
      <x:c r="L368" s="5" t="n">
        <x:v>0</x:v>
      </x:c>
      <x:c r="M368" s="5" t="n">
        <x:v>0</x:v>
      </x:c>
      <x:c r="N368" s="5" t="n">
        <x:v>0</x:v>
      </x:c>
      <x:c r="O368" s="5" t="n">
        <x:v>0</x:v>
      </x:c>
      <x:c r="P368" s="5" t="n">
        <x:v>0</x:v>
      </x:c>
      <x:c r="Q368" s="2" t="n">
        <x:v>0</x:v>
      </x:c>
    </x:row>
    <x:row r="369" ht="20" customHeight="1">
      <x:c r="A369" s="2" t="n">
        <x:v>22</x:v>
      </x:c>
      <x:c r="B369" s="2" t="str">
        <x:v>low</x:v>
      </x:c>
      <x:c r="C369" s="2" t="n">
        <x:v>36</x:v>
      </x:c>
      <x:c r="D369" s="2" t="n">
        <x:v>14</x:v>
      </x:c>
      <x:c r="E369" s="5" t="n">
        <x:v>0</x:v>
      </x:c>
      <x:c r="F369" s="5" t="n">
        <x:v>0</x:v>
      </x:c>
      <x:c r="G369" s="5" t="n">
        <x:v>0</x:v>
      </x:c>
      <x:c r="H369" s="5" t="n">
        <x:v>0</x:v>
      </x:c>
      <x:c r="I369" s="5" t="n">
        <x:v>0</x:v>
      </x:c>
      <x:c r="J369" s="5" t="n">
        <x:v>21.988651604851977</x:v>
      </x:c>
      <x:c r="K369" s="5" t="n">
        <x:v>0</x:v>
      </x:c>
      <x:c r="L369" s="5" t="n">
        <x:v>0</x:v>
      </x:c>
      <x:c r="M369" s="5" t="n">
        <x:v>0</x:v>
      </x:c>
      <x:c r="N369" s="5" t="n">
        <x:v>0</x:v>
      </x:c>
      <x:c r="O369" s="5" t="n">
        <x:v>0</x:v>
      </x:c>
      <x:c r="P369" s="5" t="n">
        <x:v>0</x:v>
      </x:c>
      <x:c r="Q369" s="2" t="n">
        <x:v>0</x:v>
      </x:c>
    </x:row>
    <x:row r="370" ht="20" customHeight="1">
      <x:c r="A370" s="2" t="n">
        <x:v>22</x:v>
      </x:c>
      <x:c r="B370" s="2" t="str">
        <x:v>low</x:v>
      </x:c>
      <x:c r="C370" s="2" t="n">
        <x:v>37</x:v>
      </x:c>
      <x:c r="D370" s="2" t="n">
        <x:v>15</x:v>
      </x:c>
      <x:c r="E370" s="5" t="n">
        <x:v>0</x:v>
      </x:c>
      <x:c r="F370" s="5" t="n">
        <x:v>0</x:v>
      </x:c>
      <x:c r="G370" s="5" t="n">
        <x:v>0</x:v>
      </x:c>
      <x:c r="H370" s="5" t="n">
        <x:v>0</x:v>
      </x:c>
      <x:c r="I370" s="5" t="n">
        <x:v>0</x:v>
      </x:c>
      <x:c r="J370" s="5" t="n">
        <x:v>11.057537722920468</x:v>
      </x:c>
      <x:c r="K370" s="5" t="n">
        <x:v>0</x:v>
      </x:c>
      <x:c r="L370" s="5" t="n">
        <x:v>0</x:v>
      </x:c>
      <x:c r="M370" s="5" t="n">
        <x:v>0</x:v>
      </x:c>
      <x:c r="N370" s="5" t="n">
        <x:v>0</x:v>
      </x:c>
      <x:c r="O370" s="5" t="n">
        <x:v>0</x:v>
      </x:c>
      <x:c r="P370" s="5" t="n">
        <x:v>0</x:v>
      </x:c>
      <x:c r="Q370" s="2" t="n">
        <x:v>0</x:v>
      </x:c>
    </x:row>
    <x:row r="371" ht="20" customHeight="1">
      <x:c r="A371" s="2" t="n">
        <x:v>23</x:v>
      </x:c>
      <x:c r="B371" s="2" t="str">
        <x:v>low</x:v>
      </x:c>
      <x:c r="C371" s="2" t="n">
        <x:v>23</x:v>
      </x:c>
      <x:c r="D371" s="2" t="n">
        <x:v>0</x:v>
      </x:c>
      <x:c r="E371" s="5" t="n">
        <x:v>0</x:v>
      </x:c>
      <x:c r="F371" s="5" t="n">
        <x:v>295029.97</x:v>
      </x:c>
      <x:c r="G371" s="5" t="n">
        <x:v>0</x:v>
      </x:c>
      <x:c r="H371" s="5" t="n">
        <x:v>0</x:v>
      </x:c>
      <x:c r="I371" s="5" t="n">
        <x:v>0</x:v>
      </x:c>
      <x:c r="J371" s="5" t="n">
        <x:v>0</x:v>
      </x:c>
      <x:c r="K371" s="5" t="n">
        <x:v>295029.97</x:v>
      </x:c>
      <x:c r="L371" s="5" t="n">
        <x:v>201</x:v>
      </x:c>
      <x:c r="M371" s="5" t="n">
        <x:v>0</x:v>
      </x:c>
      <x:c r="N371" s="5" t="n">
        <x:v>201</x:v>
      </x:c>
      <x:c r="O371" s="5" t="n">
        <x:v>5900.5994</x:v>
      </x:c>
      <x:c r="P371" s="5" t="n">
        <x:v>5025</x:v>
      </x:c>
      <x:c r="Q371" s="2" t="n">
        <x:v>0</x:v>
      </x:c>
    </x:row>
    <x:row r="372" ht="20" customHeight="1">
      <x:c r="A372" s="2" t="n">
        <x:v>23</x:v>
      </x:c>
      <x:c r="B372" s="2" t="str">
        <x:v>low</x:v>
      </x:c>
      <x:c r="C372" s="2" t="n">
        <x:v>24</x:v>
      </x:c>
      <x:c r="D372" s="2" t="n">
        <x:v>1</x:v>
      </x:c>
      <x:c r="E372" s="5" t="n">
        <x:v>295029.97</x:v>
      </x:c>
      <x:c r="F372" s="5" t="n">
        <x:v>0</x:v>
      </x:c>
      <x:c r="G372" s="5" t="n">
        <x:v>22584.841070685823</x:v>
      </x:c>
      <x:c r="H372" s="5" t="n">
        <x:v>4418.005312996943</x:v>
      </x:c>
      <x:c r="I372" s="5" t="n">
        <x:v>496.2824668704682</x:v>
      </x:c>
      <x:c r="J372" s="5" t="n">
        <x:v>0</x:v>
      </x:c>
      <x:c r="K372" s="5" t="n">
        <x:v>271948.8464624437</x:v>
      </x:c>
      <x:c r="L372" s="5" t="n">
        <x:v>200.66188934689936</x:v>
      </x:c>
      <x:c r="M372" s="5" t="n">
        <x:v>0.3381106531006464</x:v>
      </x:c>
      <x:c r="N372" s="5" t="n">
        <x:v>0</x:v>
      </x:c>
      <x:c r="O372" s="5" t="n">
        <x:v>0</x:v>
      </x:c>
      <x:c r="P372" s="5" t="n">
        <x:v>0</x:v>
      </x:c>
      <x:c r="Q372" s="2" t="n">
        <x:v>200.66188934689936</x:v>
      </x:c>
    </x:row>
    <x:row r="373" ht="20" customHeight="1">
      <x:c r="A373" s="2" t="n">
        <x:v>23</x:v>
      </x:c>
      <x:c r="B373" s="2" t="str">
        <x:v>low</x:v>
      </x:c>
      <x:c r="C373" s="2" t="n">
        <x:v>25</x:v>
      </x:c>
      <x:c r="D373" s="2" t="n">
        <x:v>2</x:v>
      </x:c>
      <x:c r="E373" s="5" t="n">
        <x:v>271948.8464624437</x:v>
      </x:c>
      <x:c r="F373" s="5" t="n">
        <x:v>0</x:v>
      </x:c>
      <x:c r="G373" s="5" t="n">
        <x:v>22885.052900701074</x:v>
      </x:c>
      <x:c r="H373" s="5" t="n">
        <x:v>4072.370846034612</x:v>
      </x:c>
      <x:c r="I373" s="5" t="n">
        <x:v>457.45672680290676</x:v>
      </x:c>
      <x:c r="J373" s="5" t="n">
        <x:v>0</x:v>
      </x:c>
      <x:c r="K373" s="5" t="n">
        <x:v>248606.33683493972</x:v>
      </x:c>
      <x:c r="L373" s="5" t="n">
        <x:v>200.32434744411583</x:v>
      </x:c>
      <x:c r="M373" s="5" t="n">
        <x:v>0.33754190278353124</x:v>
      </x:c>
      <x:c r="N373" s="5" t="n">
        <x:v>0</x:v>
      </x:c>
      <x:c r="O373" s="5" t="n">
        <x:v>0</x:v>
      </x:c>
      <x:c r="P373" s="5" t="n">
        <x:v>0</x:v>
      </x:c>
      <x:c r="Q373" s="2" t="n">
        <x:v>200.32434744411583</x:v>
      </x:c>
    </x:row>
    <x:row r="374" ht="20" customHeight="1">
      <x:c r="A374" s="2" t="n">
        <x:v>23</x:v>
      </x:c>
      <x:c r="B374" s="2" t="str">
        <x:v>low</x:v>
      </x:c>
      <x:c r="C374" s="2" t="n">
        <x:v>26</x:v>
      </x:c>
      <x:c r="D374" s="2" t="n">
        <x:v>3</x:v>
      </x:c>
      <x:c r="E374" s="5" t="n">
        <x:v>248606.33683493972</x:v>
      </x:c>
      <x:c r="F374" s="5" t="n">
        <x:v>0</x:v>
      </x:c>
      <x:c r="G374" s="5" t="n">
        <x:v>23189.255334086036</x:v>
      </x:c>
      <x:c r="H374" s="5" t="n">
        <x:v>3722.8221830530347</x:v>
      </x:c>
      <x:c r="I374" s="5" t="n">
        <x:v>418.19129807075007</x:v>
      </x:c>
      <x:c r="J374" s="5" t="n">
        <x:v>0</x:v>
      </x:c>
      <x:c r="K374" s="5" t="n">
        <x:v>224998.89020278293</x:v>
      </x:c>
      <x:c r="L374" s="5" t="n">
        <x:v>199.98737333493028</x:v>
      </x:c>
      <x:c r="M374" s="5" t="n">
        <x:v>0.3369741091855264</x:v>
      </x:c>
      <x:c r="N374" s="5" t="n">
        <x:v>0</x:v>
      </x:c>
      <x:c r="O374" s="5" t="n">
        <x:v>0</x:v>
      </x:c>
      <x:c r="P374" s="5" t="n">
        <x:v>0</x:v>
      </x:c>
      <x:c r="Q374" s="2" t="n">
        <x:v>199.98737333493028</x:v>
      </x:c>
    </x:row>
    <x:row r="375" ht="20" customHeight="1">
      <x:c r="A375" s="2" t="n">
        <x:v>23</x:v>
      </x:c>
      <x:c r="B375" s="2" t="str">
        <x:v>low</x:v>
      </x:c>
      <x:c r="C375" s="2" t="n">
        <x:v>27</x:v>
      </x:c>
      <x:c r="D375" s="2" t="n">
        <x:v>4</x:v>
      </x:c>
      <x:c r="E375" s="5" t="n">
        <x:v>224998.89020278293</x:v>
      </x:c>
      <x:c r="F375" s="5" t="n">
        <x:v>0</x:v>
      </x:c>
      <x:c r="G375" s="5" t="n">
        <x:v>23497.501416436062</x:v>
      </x:c>
      <x:c r="H375" s="5" t="n">
        <x:v>3369.306149928805</x:v>
      </x:c>
      <x:c r="I375" s="5" t="n">
        <x:v>378.4802075292715</x:v>
      </x:c>
      <x:c r="J375" s="5" t="n">
        <x:v>124.07061671761706</x:v>
      </x:c>
      <x:c r="K375" s="5" t="n">
        <x:v>201122.90857881762</x:v>
      </x:c>
      <x:c r="L375" s="5" t="n">
        <x:v>199.650966064233</x:v>
      </x:c>
      <x:c r="M375" s="5" t="n">
        <x:v>0.3364072706972939</x:v>
      </x:c>
      <x:c r="N375" s="5" t="n">
        <x:v>0</x:v>
      </x:c>
      <x:c r="O375" s="5" t="n">
        <x:v>0</x:v>
      </x:c>
      <x:c r="P375" s="5" t="n">
        <x:v>0</x:v>
      </x:c>
      <x:c r="Q375" s="2" t="n">
        <x:v>199.650966064233</x:v>
      </x:c>
    </x:row>
    <x:row r="376" ht="20" customHeight="1">
      <x:c r="A376" s="2" t="n">
        <x:v>23</x:v>
      </x:c>
      <x:c r="B376" s="2" t="str">
        <x:v>low</x:v>
      </x:c>
      <x:c r="C376" s="2" t="n">
        <x:v>28</x:v>
      </x:c>
      <x:c r="D376" s="2" t="n">
        <x:v>5</x:v>
      </x:c>
      <x:c r="E376" s="5" t="n">
        <x:v>201122.90857881762</x:v>
      </x:c>
      <x:c r="F376" s="5" t="n">
        <x:v>0</x:v>
      </x:c>
      <x:c r="G376" s="5" t="n">
        <x:v>23809.84489846172</x:v>
      </x:c>
      <x:c r="H376" s="5" t="n">
        <x:v>3011.7688676394964</x:v>
      </x:c>
      <x:c r="I376" s="5" t="n">
        <x:v>338.31740285117223</x:v>
      </x:c>
      <x:c r="J376" s="5" t="n">
        <x:v>114.36418170072669</x:v>
      </x:c>
      <x:c r="K376" s="5" t="n">
        <x:v>176974.74627750472</x:v>
      </x:c>
      <x:c r="L376" s="5" t="n">
        <x:v>199.3151246785208</x:v>
      </x:c>
      <x:c r="M376" s="5" t="n">
        <x:v>0.33584138571220307</x:v>
      </x:c>
      <x:c r="N376" s="5" t="n">
        <x:v>0</x:v>
      </x:c>
      <x:c r="O376" s="5" t="n">
        <x:v>0</x:v>
      </x:c>
      <x:c r="P376" s="5" t="n">
        <x:v>0</x:v>
      </x:c>
      <x:c r="Q376" s="2" t="n">
        <x:v>199.3151246785208</x:v>
      </x:c>
    </x:row>
    <x:row r="377" ht="20" customHeight="1">
      <x:c r="A377" s="2" t="n">
        <x:v>23</x:v>
      </x:c>
      <x:c r="B377" s="2" t="str">
        <x:v>low</x:v>
      </x:c>
      <x:c r="C377" s="2" t="n">
        <x:v>29</x:v>
      </x:c>
      <x:c r="D377" s="2" t="n">
        <x:v>6</x:v>
      </x:c>
      <x:c r="E377" s="5" t="n">
        <x:v>176974.74627750472</x:v>
      </x:c>
      <x:c r="F377" s="5" t="n">
        <x:v>0</x:v>
      </x:c>
      <x:c r="G377" s="5" t="n">
        <x:v>24126.34024536165</x:v>
      </x:c>
      <x:c r="H377" s="5" t="n">
        <x:v>2650.1557428904657</x:v>
      </x:c>
      <x:c r="I377" s="5" t="n">
        <x:v>297.6967514736732</x:v>
      </x:c>
      <x:c r="J377" s="5" t="n">
        <x:v>104.54782451768752</x:v>
      </x:c>
      <x:c r="K377" s="5" t="n">
        <x:v>152550.7092806694</x:v>
      </x:c>
      <x:c r="L377" s="5" t="n">
        <x:v>198.97984822589447</x:v>
      </x:c>
      <x:c r="M377" s="5" t="n">
        <x:v>0.33527645262632555</x:v>
      </x:c>
      <x:c r="N377" s="5" t="n">
        <x:v>0</x:v>
      </x:c>
      <x:c r="O377" s="5" t="n">
        <x:v>0</x:v>
      </x:c>
      <x:c r="P377" s="5" t="n">
        <x:v>0</x:v>
      </x:c>
      <x:c r="Q377" s="2" t="n">
        <x:v>198.97984822589447</x:v>
      </x:c>
    </x:row>
    <x:row r="378" ht="20" customHeight="1">
      <x:c r="A378" s="2" t="n">
        <x:v>23</x:v>
      </x:c>
      <x:c r="B378" s="2" t="str">
        <x:v>low</x:v>
      </x:c>
      <x:c r="C378" s="2" t="n">
        <x:v>30</x:v>
      </x:c>
      <x:c r="D378" s="2" t="n">
        <x:v>7</x:v>
      </x:c>
      <x:c r="E378" s="5" t="n">
        <x:v>152550.7092806694</x:v>
      </x:c>
      <x:c r="F378" s="5" t="n">
        <x:v>0</x:v>
      </x:c>
      <x:c r="G378" s="5" t="n">
        <x:v>24447.04264631995</x:v>
      </x:c>
      <x:c r="H378" s="5" t="n">
        <x:v>2284.4114586170667</x:v>
      </x:c>
      <x:c r="I378" s="5" t="n">
        <x:v>256.6120395316118</x:v>
      </x:c>
      <x:c r="J378" s="5" t="n">
        <x:v>94.62005188231788</x:v>
      </x:c>
      <x:c r="K378" s="5" t="n">
        <x:v>127847.05459481783</x:v>
      </x:c>
      <x:c r="L378" s="5" t="n">
        <x:v>198.64513575605605</x:v>
      </x:c>
      <x:c r="M378" s="5" t="n">
        <x:v>0.3347124698384312</x:v>
      </x:c>
      <x:c r="N378" s="5" t="n">
        <x:v>0</x:v>
      </x:c>
      <x:c r="O378" s="5" t="n">
        <x:v>0</x:v>
      </x:c>
      <x:c r="P378" s="5" t="n">
        <x:v>0</x:v>
      </x:c>
      <x:c r="Q378" s="2" t="n">
        <x:v>198.64513575605605</x:v>
      </x:c>
    </x:row>
    <x:row r="379" ht="20" customHeight="1">
      <x:c r="A379" s="2" t="n">
        <x:v>23</x:v>
      </x:c>
      <x:c r="B379" s="2" t="str">
        <x:v>low</x:v>
      </x:c>
      <x:c r="C379" s="2" t="n">
        <x:v>31</x:v>
      </x:c>
      <x:c r="D379" s="2" t="n">
        <x:v>8</x:v>
      </x:c>
      <x:c r="E379" s="5" t="n">
        <x:v>127847.05459481783</x:v>
      </x:c>
      <x:c r="F379" s="5" t="n">
        <x:v>0</x:v>
      </x:c>
      <x:c r="G379" s="5" t="n">
        <x:v>24772.00802412988</x:v>
      </x:c>
      <x:c r="H379" s="5" t="n">
        <x:v>1914.479964360622</x:v>
      </x:c>
      <x:c r="I379" s="5" t="n">
        <x:v>215.05697077635747</x:v>
      </x:c>
      <x:c r="J379" s="5" t="n">
        <x:v>84.57935071279306</x:v>
      </x:c>
      <x:c r="K379" s="5" t="n">
        <x:v>102859.9895999116</x:v>
      </x:c>
      <x:c r="L379" s="5" t="n">
        <x:v>198.31098632030606</x:v>
      </x:c>
      <x:c r="M379" s="5" t="n">
        <x:v>0.33414943574998346</x:v>
      </x:c>
      <x:c r="N379" s="5" t="n">
        <x:v>0</x:v>
      </x:c>
      <x:c r="O379" s="5" t="n">
        <x:v>0</x:v>
      </x:c>
      <x:c r="P379" s="5" t="n">
        <x:v>0</x:v>
      </x:c>
      <x:c r="Q379" s="2" t="n">
        <x:v>198.31098632030606</x:v>
      </x:c>
    </x:row>
    <x:row r="380" ht="20" customHeight="1">
      <x:c r="A380" s="2" t="n">
        <x:v>23</x:v>
      </x:c>
      <x:c r="B380" s="2" t="str">
        <x:v>low</x:v>
      </x:c>
      <x:c r="C380" s="2" t="n">
        <x:v>32</x:v>
      </x:c>
      <x:c r="D380" s="2" t="n">
        <x:v>9</x:v>
      </x:c>
      <x:c r="E380" s="5" t="n">
        <x:v>102859.9895999116</x:v>
      </x:c>
      <x:c r="F380" s="5" t="n">
        <x:v>0</x:v>
      </x:c>
      <x:c r="G380" s="5" t="n">
        <x:v>25101.293044945418</x:v>
      </x:c>
      <x:c r="H380" s="5" t="n">
        <x:v>1540.3044665164687</x:v>
      </x:c>
      <x:c r="I380" s="5" t="n">
        <x:v>173.02516548035726</x:v>
      </x:c>
      <x:c r="J380" s="5" t="n">
        <x:v>74.4241878684183</x:v>
      </x:c>
      <x:c r="K380" s="5" t="n">
        <x:v>77585.67138948583</x:v>
      </x:c>
      <x:c r="L380" s="5" t="n">
        <x:v>197.97739897154094</x:v>
      </x:c>
      <x:c r="M380" s="5" t="n">
        <x:v>0.3335873487651345</x:v>
      </x:c>
      <x:c r="N380" s="5" t="n">
        <x:v>0</x:v>
      </x:c>
      <x:c r="O380" s="5" t="n">
        <x:v>0</x:v>
      </x:c>
      <x:c r="P380" s="5" t="n">
        <x:v>0</x:v>
      </x:c>
      <x:c r="Q380" s="2" t="n">
        <x:v>197.97739897154094</x:v>
      </x:c>
    </x:row>
    <x:row r="381" ht="20" customHeight="1">
      <x:c r="A381" s="2" t="n">
        <x:v>23</x:v>
      </x:c>
      <x:c r="B381" s="2" t="str">
        <x:v>low</x:v>
      </x:c>
      <x:c r="C381" s="2" t="n">
        <x:v>33</x:v>
      </x:c>
      <x:c r="D381" s="2" t="n">
        <x:v>10</x:v>
      </x:c>
      <x:c r="E381" s="5" t="n">
        <x:v>77585.67138948583</x:v>
      </x:c>
      <x:c r="F381" s="5" t="n">
        <x:v>0</x:v>
      </x:c>
      <x:c r="G381" s="5" t="n">
        <x:v>25434.955128162517</x:v>
      </x:c>
      <x:c r="H381" s="5" t="n">
        <x:v>1161.8274184523805</x:v>
      </x:c>
      <x:c r="I381" s="5" t="n">
        <x:v>130.51015932712033</x:v>
      </x:c>
      <x:c r="J381" s="5" t="n">
        <x:v>64.15300988290295</x:v>
      </x:c>
      <x:c r="K381" s="5" t="n">
        <x:v>52020.206101996184</x:v>
      </x:c>
      <x:c r="L381" s="5" t="n">
        <x:v>197.6443727642502</x:v>
      </x:c>
      <x:c r="M381" s="5" t="n">
        <x:v>0.33302620729072113</x:v>
      </x:c>
      <x:c r="N381" s="5" t="n">
        <x:v>0</x:v>
      </x:c>
      <x:c r="O381" s="5" t="n">
        <x:v>0</x:v>
      </x:c>
      <x:c r="P381" s="5" t="n">
        <x:v>0</x:v>
      </x:c>
      <x:c r="Q381" s="2" t="n">
        <x:v>197.6443727642502</x:v>
      </x:c>
    </x:row>
    <x:row r="382" ht="20" customHeight="1">
      <x:c r="A382" s="2" t="n">
        <x:v>23</x:v>
      </x:c>
      <x:c r="B382" s="2" t="str">
        <x:v>low</x:v>
      </x:c>
      <x:c r="C382" s="2" t="n">
        <x:v>34</x:v>
      </x:c>
      <x:c r="D382" s="2" t="n">
        <x:v>11</x:v>
      </x:c>
      <x:c r="E382" s="5" t="n">
        <x:v>52020.206101996184</x:v>
      </x:c>
      <x:c r="F382" s="5" t="n">
        <x:v>0</x:v>
      </x:c>
      <x:c r="G382" s="5" t="n">
        <x:v>25773.05245643163</x:v>
      </x:c>
      <x:c r="H382" s="5" t="n">
        <x:v>778.990510495646</x:v>
      </x:c>
      <x:c r="I382" s="5" t="n">
        <x:v>87.50540228644856</x:v>
      </x:c>
      <x:c r="J382" s="5" t="n">
        <x:v>53.76424269408937</x:v>
      </x:c>
      <x:c r="K382" s="5" t="n">
        <x:v>26159.648243278105</x:v>
      </x:c>
      <x:c r="L382" s="5" t="n">
        <x:v>197.31190675451396</x:v>
      </x:c>
      <x:c r="M382" s="5" t="n">
        <x:v>0.33246600973625995</x:v>
      </x:c>
      <x:c r="N382" s="5" t="n">
        <x:v>0</x:v>
      </x:c>
      <x:c r="O382" s="5" t="n">
        <x:v>0</x:v>
      </x:c>
      <x:c r="P382" s="5" t="n">
        <x:v>0</x:v>
      </x:c>
      <x:c r="Q382" s="2" t="n">
        <x:v>197.31190675451396</x:v>
      </x:c>
    </x:row>
    <x:row r="383" ht="20" customHeight="1">
      <x:c r="A383" s="2" t="n">
        <x:v>23</x:v>
      </x:c>
      <x:c r="B383" s="2" t="str">
        <x:v>low</x:v>
      </x:c>
      <x:c r="C383" s="2" t="n">
        <x:v>35</x:v>
      </x:c>
      <x:c r="D383" s="2" t="n">
        <x:v>12</x:v>
      </x:c>
      <x:c r="E383" s="5" t="n">
        <x:v>26159.648243278105</x:v>
      </x:c>
      <x:c r="F383" s="5" t="n">
        <x:v>0</x:v>
      </x:c>
      <x:c r="G383" s="5" t="n">
        <x:v>26115.64398580339</x:v>
      </x:c>
      <x:c r="H383" s="5" t="n">
        <x:v>391.7346597870508</x:v>
      </x:c>
      <x:c r="I383" s="5" t="n">
        <x:v>44.004257474716105</x:v>
      </x:c>
      <x:c r="J383" s="5" t="n">
        <x:v>43.256291370089315</x:v>
      </x:c>
      <x:c r="K383" s="5" t="n">
        <x:v>0</x:v>
      </x:c>
      <x:c r="L383" s="5" t="n">
        <x:v>0</x:v>
      </x:c>
      <x:c r="M383" s="5" t="n">
        <x:v>0.3319067545139431</x:v>
      </x:c>
      <x:c r="N383" s="5" t="n">
        <x:v>0</x:v>
      </x:c>
      <x:c r="O383" s="5" t="n">
        <x:v>0</x:v>
      </x:c>
      <x:c r="P383" s="5" t="n">
        <x:v>0</x:v>
      </x:c>
      <x:c r="Q383" s="2" t="n">
        <x:v>196.98</x:v>
      </x:c>
    </x:row>
    <x:row r="384" ht="20" customHeight="1">
      <x:c r="A384" s="2" t="n">
        <x:v>23</x:v>
      </x:c>
      <x:c r="B384" s="2" t="str">
        <x:v>low</x:v>
      </x:c>
      <x:c r="C384" s="2" t="n">
        <x:v>36</x:v>
      </x:c>
      <x:c r="D384" s="2" t="n">
        <x:v>13</x:v>
      </x:c>
      <x:c r="E384" s="5" t="n">
        <x:v>0</x:v>
      </x:c>
      <x:c r="F384" s="5" t="n">
        <x:v>0</x:v>
      </x:c>
      <x:c r="G384" s="5" t="n">
        <x:v>0</x:v>
      </x:c>
      <x:c r="H384" s="5" t="n">
        <x:v>0</x:v>
      </x:c>
      <x:c r="I384" s="5" t="n">
        <x:v>0</x:v>
      </x:c>
      <x:c r="J384" s="5" t="n">
        <x:v>32.62753983178008</x:v>
      </x:c>
      <x:c r="K384" s="5" t="n">
        <x:v>0</x:v>
      </x:c>
      <x:c r="L384" s="5" t="n">
        <x:v>0</x:v>
      </x:c>
      <x:c r="M384" s="5" t="n">
        <x:v>0</x:v>
      </x:c>
      <x:c r="N384" s="5" t="n">
        <x:v>0</x:v>
      </x:c>
      <x:c r="O384" s="5" t="n">
        <x:v>0</x:v>
      </x:c>
      <x:c r="P384" s="5" t="n">
        <x:v>0</x:v>
      </x:c>
      <x:c r="Q384" s="2" t="n">
        <x:v>0</x:v>
      </x:c>
    </x:row>
    <x:row r="385" ht="20" customHeight="1">
      <x:c r="A385" s="2" t="n">
        <x:v>23</x:v>
      </x:c>
      <x:c r="B385" s="2" t="str">
        <x:v>low</x:v>
      </x:c>
      <x:c r="C385" s="2" t="n">
        <x:v>37</x:v>
      </x:c>
      <x:c r="D385" s="2" t="n">
        <x:v>14</x:v>
      </x:c>
      <x:c r="E385" s="5" t="n">
        <x:v>0</x:v>
      </x:c>
      <x:c r="F385" s="5" t="n">
        <x:v>0</x:v>
      </x:c>
      <x:c r="G385" s="5" t="n">
        <x:v>0</x:v>
      </x:c>
      <x:c r="H385" s="5" t="n">
        <x:v>0</x:v>
      </x:c>
      <x:c r="I385" s="5" t="n">
        <x:v>0</x:v>
      </x:c>
      <x:c r="J385" s="5" t="n">
        <x:v>21.87635057161214</x:v>
      </x:c>
      <x:c r="K385" s="5" t="n">
        <x:v>0</x:v>
      </x:c>
      <x:c r="L385" s="5" t="n">
        <x:v>0</x:v>
      </x:c>
      <x:c r="M385" s="5" t="n">
        <x:v>0</x:v>
      </x:c>
      <x:c r="N385" s="5" t="n">
        <x:v>0</x:v>
      </x:c>
      <x:c r="O385" s="5" t="n">
        <x:v>0</x:v>
      </x:c>
      <x:c r="P385" s="5" t="n">
        <x:v>0</x:v>
      </x:c>
      <x:c r="Q385" s="2" t="n">
        <x:v>0</x:v>
      </x:c>
    </x:row>
    <x:row r="386" ht="20" customHeight="1">
      <x:c r="A386" s="2" t="n">
        <x:v>23</x:v>
      </x:c>
      <x:c r="B386" s="2" t="str">
        <x:v>low</x:v>
      </x:c>
      <x:c r="C386" s="2" t="n">
        <x:v>38</x:v>
      </x:c>
      <x:c r="D386" s="2" t="n">
        <x:v>15</x:v>
      </x:c>
      <x:c r="E386" s="5" t="n">
        <x:v>0</x:v>
      </x:c>
      <x:c r="F386" s="5" t="n">
        <x:v>0</x:v>
      </x:c>
      <x:c r="G386" s="5" t="n">
        <x:v>0</x:v>
      </x:c>
      <x:c r="H386" s="5" t="n">
        <x:v>0</x:v>
      </x:c>
      <x:c r="I386" s="5" t="n">
        <x:v>0</x:v>
      </x:c>
      <x:c r="J386" s="5" t="n">
        <x:v>11.001064368679026</x:v>
      </x:c>
      <x:c r="K386" s="5" t="n">
        <x:v>0</x:v>
      </x:c>
      <x:c r="L386" s="5" t="n">
        <x:v>0</x:v>
      </x:c>
      <x:c r="M386" s="5" t="n">
        <x:v>0</x:v>
      </x:c>
      <x:c r="N386" s="5" t="n">
        <x:v>0</x:v>
      </x:c>
      <x:c r="O386" s="5" t="n">
        <x:v>0</x:v>
      </x:c>
      <x:c r="P386" s="5" t="n">
        <x:v>0</x:v>
      </x:c>
      <x:c r="Q386" s="2" t="n">
        <x:v>0</x:v>
      </x:c>
    </x:row>
    <x:row r="387"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</x:row>
    <x:row r="388"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</x:row>
    <x:row r="389"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/>
    </x:row>
    <x:row r="390"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</x:row>
    <x:row r="391"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</x:row>
    <x:row r="392"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/>
    </x:row>
    <x:row r="393"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</x:row>
    <x:row r="394"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</x:row>
    <x:row r="395"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/>
    </x:row>
    <x:row r="396"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</x:row>
    <x:row r="397"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</x:row>
    <x:row r="398"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</x:row>
    <x:row r="399"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</x:row>
    <x:row r="400"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</x:row>
    <x:row r="401"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/>
    </x:row>
    <x:row r="402"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</x:row>
    <x:row r="403"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</x:row>
    <x:row r="404"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</x:row>
    <x:row r="405"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</x:row>
    <x:row r="406"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</x:row>
    <x:row r="407"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</x:row>
    <x:row r="408"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</x:row>
    <x:row r="409"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</x:row>
    <x:row r="410"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/>
    </x:row>
    <x:row r="411"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/>
    </x:row>
    <x:row r="412"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</x:row>
    <x:row r="413"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</x:row>
    <x:row r="414"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</x:row>
    <x:row r="415"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</x:row>
    <x:row r="416"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</x:row>
    <x:row r="417"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</x:row>
    <x:row r="418"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</x:row>
    <x:row r="419"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</x:row>
    <x:row r="420"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</x:row>
    <x:row r="421"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/>
    </x:row>
    <x:row r="422"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/>
    </x:row>
    <x:row r="423"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</x:row>
    <x:row r="424"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</x:row>
    <x:row r="425"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</x:row>
    <x:row r="426"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</x:row>
    <x:row r="427"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</x:row>
    <x:row r="428"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</x:row>
    <x:row r="429"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</x:row>
    <x:row r="430"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</x:row>
    <x:row r="431"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</x:row>
    <x:row r="432"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</x:row>
    <x:row r="433"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</x:row>
    <x:row r="434"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</x:row>
    <x:row r="435"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/>
    </x:row>
    <x:row r="436"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</x:row>
    <x:row r="437"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</x:row>
    <x:row r="438"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</x:row>
    <x:row r="439"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</x:row>
    <x:row r="440"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</x:row>
    <x:row r="441"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</x:row>
    <x:row r="442"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</x:row>
    <x:row r="443"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</x:row>
    <x:row r="444"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</x:row>
    <x:row r="445"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</x:row>
    <x:row r="446"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</x:row>
    <x:row r="447"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</x:row>
    <x:row r="448"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</x:row>
    <x:row r="449"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</x:row>
    <x:row r="450"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</x:row>
    <x:row r="451"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</x:row>
    <x:row r="452"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</x:row>
    <x:row r="453"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</x:row>
    <x:row r="454"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</x:row>
    <x:row r="455"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</x:row>
    <x:row r="456"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</x:row>
    <x:row r="457"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</x:row>
    <x:row r="458"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</x:row>
    <x:row r="459"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</x:row>
    <x:row r="460"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</x:row>
    <x:row r="461"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</x:row>
    <x:row r="462"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</x:row>
    <x:row r="463"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</x:row>
    <x:row r="464"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</x:row>
    <x:row r="465"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</x:row>
    <x:row r="466"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</x:row>
    <x:row r="467"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/>
    </x:row>
    <x:row r="468"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/>
    </x:row>
    <x:row r="469"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/>
    </x:row>
    <x:row r="470"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/>
    </x:row>
    <x:row r="471"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/>
    </x:row>
    <x:row r="472"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/>
    </x:row>
    <x:row r="473"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/>
    </x:row>
    <x:row r="474"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/>
    </x:row>
    <x:row r="475"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/>
    </x:row>
    <x:row r="476"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</x:row>
    <x:row r="477"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/>
    </x:row>
    <x:row r="478"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/>
    </x:row>
    <x:row r="479"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/>
    </x:row>
    <x:row r="480"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/>
    </x:row>
    <x:row r="481"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/>
    </x:row>
    <x:row r="482"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/>
    </x:row>
    <x:row r="483"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/>
    </x:row>
    <x:row r="484"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/>
    </x:row>
    <x:row r="485"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/>
    </x:row>
    <x:row r="486"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/>
    </x:row>
    <x:row r="487"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/>
    </x:row>
    <x:row r="488"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/>
    </x:row>
    <x:row r="489"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/>
    </x:row>
    <x:row r="490"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/>
    </x:row>
    <x:row r="491"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/>
    </x:row>
    <x:row r="492"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/>
    </x:row>
    <x:row r="493"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/>
    </x:row>
    <x:row r="494"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/>
    </x:row>
    <x:row r="495"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/>
    </x:row>
    <x:row r="496"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/>
    </x:row>
    <x:row r="497"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/>
    </x:row>
    <x:row r="498"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/>
    </x:row>
    <x:row r="499"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/>
    </x:row>
    <x:row r="500"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</x:row>
    <x:row r="501"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/>
    </x:row>
    <x:row r="502">
      <x:c r="E502" s="13"/>
      <x:c r="F502" s="13"/>
      <x:c r="G502" s="13"/>
      <x:c r="H502" s="13"/>
      <x:c r="I502" s="13"/>
      <x:c r="J502" s="13"/>
      <x:c r="K502" s="13"/>
      <x:c r="L502" s="13"/>
      <x:c r="M502" s="13"/>
      <x:c r="N502" s="13"/>
      <x:c r="O502" s="13"/>
      <x:c r="P502" s="13"/>
    </x:row>
    <x:row r="503">
      <x:c r="E503" s="13"/>
      <x:c r="F503" s="13"/>
      <x:c r="G503" s="13"/>
      <x:c r="H503" s="13"/>
      <x:c r="I503" s="13"/>
      <x:c r="J503" s="13"/>
      <x:c r="K503" s="13"/>
      <x:c r="L503" s="13"/>
      <x:c r="M503" s="13"/>
      <x:c r="N503" s="13"/>
      <x:c r="O503" s="13"/>
      <x:c r="P503" s="13"/>
    </x:row>
    <x:row r="504">
      <x:c r="E504" s="13"/>
      <x:c r="F504" s="13"/>
      <x:c r="G504" s="13"/>
      <x:c r="H504" s="13"/>
      <x:c r="I504" s="13"/>
      <x:c r="J504" s="13"/>
      <x:c r="K504" s="13"/>
      <x:c r="L504" s="13"/>
      <x:c r="M504" s="13"/>
      <x:c r="N504" s="13"/>
      <x:c r="O504" s="13"/>
      <x:c r="P504" s="13"/>
    </x:row>
    <x:row r="505">
      <x:c r="E505" s="13"/>
      <x:c r="F505" s="13"/>
      <x:c r="G505" s="13"/>
      <x:c r="H505" s="13"/>
      <x:c r="I505" s="13"/>
      <x:c r="J505" s="13"/>
      <x:c r="K505" s="13"/>
      <x:c r="L505" s="13"/>
      <x:c r="M505" s="13"/>
      <x:c r="N505" s="13"/>
      <x:c r="O505" s="13"/>
      <x:c r="P505" s="13"/>
    </x:row>
    <x:row r="506">
      <x:c r="E506" s="13"/>
      <x:c r="F506" s="13"/>
      <x:c r="G506" s="13"/>
      <x:c r="H506" s="13"/>
      <x:c r="I506" s="13"/>
      <x:c r="J506" s="13"/>
      <x:c r="K506" s="13"/>
      <x:c r="L506" s="13"/>
      <x:c r="M506" s="13"/>
      <x:c r="N506" s="13"/>
      <x:c r="O506" s="13"/>
      <x:c r="P506" s="13"/>
    </x:row>
    <x:row r="507">
      <x:c r="E507" s="13"/>
      <x:c r="F507" s="13"/>
      <x:c r="G507" s="13"/>
      <x:c r="H507" s="13"/>
      <x:c r="I507" s="13"/>
      <x:c r="J507" s="13"/>
      <x:c r="K507" s="13"/>
      <x:c r="L507" s="13"/>
      <x:c r="M507" s="13"/>
      <x:c r="N507" s="13"/>
      <x:c r="O507" s="13"/>
      <x:c r="P507" s="13"/>
    </x:row>
    <x:row r="508">
      <x:c r="E508" s="13"/>
      <x:c r="F508" s="13"/>
      <x:c r="G508" s="13"/>
      <x:c r="H508" s="13"/>
      <x:c r="I508" s="13"/>
      <x:c r="J508" s="13"/>
      <x:c r="K508" s="13"/>
      <x:c r="L508" s="13"/>
      <x:c r="M508" s="13"/>
      <x:c r="N508" s="13"/>
      <x:c r="O508" s="13"/>
      <x:c r="P508" s="13"/>
    </x:row>
    <x:row r="509">
      <x:c r="E509" s="13"/>
      <x:c r="F509" s="13"/>
      <x:c r="G509" s="13"/>
      <x:c r="H509" s="13"/>
      <x:c r="I509" s="13"/>
      <x:c r="J509" s="13"/>
      <x:c r="K509" s="13"/>
      <x:c r="L509" s="13"/>
      <x:c r="M509" s="13"/>
      <x:c r="N509" s="13"/>
      <x:c r="O509" s="13"/>
      <x:c r="P509" s="13"/>
    </x:row>
    <x:row r="510">
      <x:c r="E510" s="13"/>
      <x:c r="F510" s="13"/>
      <x:c r="G510" s="13"/>
      <x:c r="H510" s="13"/>
      <x:c r="I510" s="13"/>
      <x:c r="J510" s="13"/>
      <x:c r="K510" s="13"/>
      <x:c r="L510" s="13"/>
      <x:c r="M510" s="13"/>
      <x:c r="N510" s="13"/>
      <x:c r="O510" s="13"/>
      <x:c r="P510" s="13"/>
    </x:row>
    <x:row r="511">
      <x:c r="E511" s="13"/>
      <x:c r="F511" s="13"/>
      <x:c r="G511" s="13"/>
      <x:c r="H511" s="13"/>
      <x:c r="I511" s="13"/>
      <x:c r="J511" s="13"/>
      <x:c r="K511" s="13"/>
      <x:c r="L511" s="13"/>
      <x:c r="M511" s="13"/>
      <x:c r="N511" s="13"/>
      <x:c r="O511" s="13"/>
      <x:c r="P511" s="13"/>
    </x:row>
    <x:row r="512">
      <x:c r="E512" s="13"/>
      <x:c r="F512" s="13"/>
      <x:c r="G512" s="13"/>
      <x:c r="H512" s="13"/>
      <x:c r="I512" s="13"/>
      <x:c r="J512" s="13"/>
      <x:c r="K512" s="13"/>
      <x:c r="L512" s="13"/>
      <x:c r="M512" s="13"/>
      <x:c r="N512" s="13"/>
      <x:c r="O512" s="13"/>
      <x:c r="P512" s="13"/>
    </x:row>
    <x:row r="513">
      <x:c r="E513" s="13"/>
      <x:c r="F513" s="13"/>
      <x:c r="G513" s="13"/>
      <x:c r="H513" s="13"/>
      <x:c r="I513" s="13"/>
      <x:c r="J513" s="13"/>
      <x:c r="K513" s="13"/>
      <x:c r="L513" s="13"/>
      <x:c r="M513" s="13"/>
      <x:c r="N513" s="13"/>
      <x:c r="O513" s="13"/>
      <x:c r="P513" s="13"/>
    </x:row>
    <x:row r="514">
      <x:c r="E514" s="13"/>
      <x:c r="F514" s="13"/>
      <x:c r="G514" s="13"/>
      <x:c r="H514" s="13"/>
      <x:c r="I514" s="13"/>
      <x:c r="J514" s="13"/>
      <x:c r="K514" s="13"/>
      <x:c r="L514" s="13"/>
      <x:c r="M514" s="13"/>
      <x:c r="N514" s="13"/>
      <x:c r="O514" s="13"/>
      <x:c r="P514" s="13"/>
    </x:row>
    <x:row r="515">
      <x:c r="E515" s="13"/>
      <x:c r="F515" s="13"/>
      <x:c r="G515" s="13"/>
      <x:c r="H515" s="13"/>
      <x:c r="I515" s="13"/>
      <x:c r="J515" s="13"/>
      <x:c r="K515" s="13"/>
      <x:c r="L515" s="13"/>
      <x:c r="M515" s="13"/>
      <x:c r="N515" s="13"/>
      <x:c r="O515" s="13"/>
      <x:c r="P515" s="13"/>
    </x:row>
    <x:row r="516">
      <x:c r="E516" s="13"/>
      <x:c r="F516" s="13"/>
      <x:c r="G516" s="13"/>
      <x:c r="H516" s="13"/>
      <x:c r="I516" s="13"/>
      <x:c r="J516" s="13"/>
      <x:c r="K516" s="13"/>
      <x:c r="L516" s="13"/>
      <x:c r="M516" s="13"/>
      <x:c r="N516" s="13"/>
      <x:c r="O516" s="13"/>
      <x:c r="P516" s="13"/>
    </x:row>
    <x:row r="517">
      <x:c r="E517" s="13"/>
      <x:c r="F517" s="13"/>
      <x:c r="G517" s="13"/>
      <x:c r="H517" s="13"/>
      <x:c r="I517" s="13"/>
      <x:c r="J517" s="13"/>
      <x:c r="K517" s="13"/>
      <x:c r="L517" s="13"/>
      <x:c r="M517" s="13"/>
      <x:c r="N517" s="13"/>
      <x:c r="O517" s="13"/>
      <x:c r="P517" s="13"/>
    </x:row>
    <x:row r="518">
      <x:c r="E518" s="13"/>
      <x:c r="F518" s="13"/>
      <x:c r="G518" s="13"/>
      <x:c r="H518" s="13"/>
      <x:c r="I518" s="13"/>
      <x:c r="J518" s="13"/>
      <x:c r="K518" s="13"/>
      <x:c r="L518" s="13"/>
      <x:c r="M518" s="13"/>
      <x:c r="N518" s="13"/>
      <x:c r="O518" s="13"/>
      <x:c r="P518" s="13"/>
    </x:row>
    <x:row r="519">
      <x:c r="E519" s="13"/>
      <x:c r="F519" s="13"/>
      <x:c r="G519" s="13"/>
      <x:c r="H519" s="13"/>
      <x:c r="I519" s="13"/>
      <x:c r="J519" s="13"/>
      <x:c r="K519" s="13"/>
      <x:c r="L519" s="13"/>
      <x:c r="M519" s="13"/>
      <x:c r="N519" s="13"/>
      <x:c r="O519" s="13"/>
      <x:c r="P519" s="13"/>
    </x:row>
    <x:row r="520">
      <x:c r="E520" s="13"/>
      <x:c r="F520" s="13"/>
      <x:c r="G520" s="13"/>
      <x:c r="H520" s="13"/>
      <x:c r="I520" s="13"/>
      <x:c r="J520" s="13"/>
      <x:c r="K520" s="13"/>
      <x:c r="L520" s="13"/>
      <x:c r="M520" s="13"/>
      <x:c r="N520" s="13"/>
      <x:c r="O520" s="13"/>
      <x:c r="P520" s="13"/>
    </x:row>
    <x:row r="521">
      <x:c r="E521" s="13"/>
      <x:c r="F521" s="13"/>
      <x:c r="G521" s="13"/>
      <x:c r="H521" s="13"/>
      <x:c r="I521" s="13"/>
      <x:c r="J521" s="13"/>
      <x:c r="K521" s="13"/>
      <x:c r="L521" s="13"/>
      <x:c r="M521" s="13"/>
      <x:c r="N521" s="13"/>
      <x:c r="O521" s="13"/>
      <x:c r="P521" s="13"/>
    </x:row>
    <x:row r="522">
      <x:c r="E522" s="13"/>
      <x:c r="F522" s="13"/>
      <x:c r="G522" s="13"/>
      <x:c r="H522" s="13"/>
      <x:c r="I522" s="13"/>
      <x:c r="J522" s="13"/>
      <x:c r="K522" s="13"/>
      <x:c r="L522" s="13"/>
      <x:c r="M522" s="13"/>
      <x:c r="N522" s="13"/>
      <x:c r="O522" s="13"/>
      <x:c r="P522" s="13"/>
    </x:row>
    <x:row r="523">
      <x:c r="E523" s="13"/>
      <x:c r="F523" s="13"/>
      <x:c r="G523" s="13"/>
      <x:c r="H523" s="13"/>
      <x:c r="I523" s="13"/>
      <x:c r="J523" s="13"/>
      <x:c r="K523" s="13"/>
      <x:c r="L523" s="13"/>
      <x:c r="M523" s="13"/>
      <x:c r="N523" s="13"/>
      <x:c r="O523" s="13"/>
      <x:c r="P523" s="13"/>
    </x:row>
    <x:row r="524">
      <x:c r="E524" s="13"/>
      <x:c r="F524" s="13"/>
      <x:c r="G524" s="13"/>
      <x:c r="H524" s="13"/>
      <x:c r="I524" s="13"/>
      <x:c r="J524" s="13"/>
      <x:c r="K524" s="13"/>
      <x:c r="L524" s="13"/>
      <x:c r="M524" s="13"/>
      <x:c r="N524" s="13"/>
      <x:c r="O524" s="13"/>
      <x:c r="P524" s="13"/>
    </x:row>
    <x:row r="525">
      <x:c r="E525" s="13"/>
      <x:c r="F525" s="13"/>
      <x:c r="G525" s="13"/>
      <x:c r="H525" s="13"/>
      <x:c r="I525" s="13"/>
      <x:c r="J525" s="13"/>
      <x:c r="K525" s="13"/>
      <x:c r="L525" s="13"/>
      <x:c r="M525" s="13"/>
      <x:c r="N525" s="13"/>
      <x:c r="O525" s="13"/>
      <x:c r="P525" s="13"/>
    </x:row>
    <x:row r="526">
      <x:c r="E526" s="13"/>
      <x:c r="F526" s="13"/>
      <x:c r="G526" s="13"/>
      <x:c r="H526" s="13"/>
      <x:c r="I526" s="13"/>
      <x:c r="J526" s="13"/>
      <x:c r="K526" s="13"/>
      <x:c r="L526" s="13"/>
      <x:c r="M526" s="13"/>
      <x:c r="N526" s="13"/>
      <x:c r="O526" s="13"/>
      <x:c r="P526" s="13"/>
    </x:row>
    <x:row r="527">
      <x:c r="E527" s="13"/>
      <x:c r="F527" s="13"/>
      <x:c r="G527" s="13"/>
      <x:c r="H527" s="13"/>
      <x:c r="I527" s="13"/>
      <x:c r="J527" s="13"/>
      <x:c r="K527" s="13"/>
      <x:c r="L527" s="13"/>
      <x:c r="M527" s="13"/>
      <x:c r="N527" s="13"/>
      <x:c r="O527" s="13"/>
      <x:c r="P527" s="13"/>
    </x:row>
    <x:row r="528">
      <x:c r="E528" s="13"/>
      <x:c r="F528" s="13"/>
      <x:c r="G528" s="13"/>
      <x:c r="H528" s="13"/>
      <x:c r="I528" s="13"/>
      <x:c r="J528" s="13"/>
      <x:c r="K528" s="13"/>
      <x:c r="L528" s="13"/>
      <x:c r="M528" s="13"/>
      <x:c r="N528" s="13"/>
      <x:c r="O528" s="13"/>
      <x:c r="P528" s="13"/>
    </x:row>
    <x:row r="529">
      <x:c r="E529" s="13"/>
      <x:c r="F529" s="13"/>
      <x:c r="G529" s="13"/>
      <x:c r="H529" s="13"/>
      <x:c r="I529" s="13"/>
      <x:c r="J529" s="13"/>
      <x:c r="K529" s="13"/>
      <x:c r="L529" s="13"/>
      <x:c r="M529" s="13"/>
      <x:c r="N529" s="13"/>
      <x:c r="O529" s="13"/>
      <x:c r="P529" s="13"/>
    </x:row>
    <x:row r="530">
      <x:c r="E530" s="13"/>
      <x:c r="F530" s="13"/>
      <x:c r="G530" s="13"/>
      <x:c r="H530" s="13"/>
      <x:c r="I530" s="13"/>
      <x:c r="J530" s="13"/>
      <x:c r="K530" s="13"/>
      <x:c r="L530" s="13"/>
      <x:c r="M530" s="13"/>
      <x:c r="N530" s="13"/>
      <x:c r="O530" s="13"/>
      <x:c r="P530" s="13"/>
    </x:row>
    <x:row r="531">
      <x:c r="E531" s="13"/>
      <x:c r="F531" s="13"/>
      <x:c r="G531" s="13"/>
      <x:c r="H531" s="13"/>
      <x:c r="I531" s="13"/>
      <x:c r="J531" s="13"/>
      <x:c r="K531" s="13"/>
      <x:c r="L531" s="13"/>
      <x:c r="M531" s="13"/>
      <x:c r="N531" s="13"/>
      <x:c r="O531" s="13"/>
      <x:c r="P531" s="13"/>
    </x:row>
    <x:row r="532">
      <x:c r="E532" s="13"/>
      <x:c r="F532" s="13"/>
      <x:c r="G532" s="13"/>
      <x:c r="H532" s="13"/>
      <x:c r="I532" s="13"/>
      <x:c r="J532" s="13"/>
      <x:c r="K532" s="13"/>
      <x:c r="L532" s="13"/>
      <x:c r="M532" s="13"/>
      <x:c r="N532" s="13"/>
      <x:c r="O532" s="13"/>
      <x:c r="P532" s="13"/>
    </x:row>
    <x:row r="533">
      <x:c r="E533" s="13"/>
      <x:c r="F533" s="13"/>
      <x:c r="G533" s="13"/>
      <x:c r="H533" s="13"/>
      <x:c r="I533" s="13"/>
      <x:c r="J533" s="13"/>
      <x:c r="K533" s="13"/>
      <x:c r="L533" s="13"/>
      <x:c r="M533" s="13"/>
      <x:c r="N533" s="13"/>
      <x:c r="O533" s="13"/>
      <x:c r="P533" s="13"/>
    </x:row>
    <x:row r="534">
      <x:c r="E534" s="13"/>
      <x:c r="F534" s="13"/>
      <x:c r="G534" s="13"/>
      <x:c r="H534" s="13"/>
      <x:c r="I534" s="13"/>
      <x:c r="J534" s="13"/>
      <x:c r="K534" s="13"/>
      <x:c r="L534" s="13"/>
      <x:c r="M534" s="13"/>
      <x:c r="N534" s="13"/>
      <x:c r="O534" s="13"/>
      <x:c r="P534" s="13"/>
    </x:row>
    <x:row r="535">
      <x:c r="E535" s="13"/>
      <x:c r="F535" s="13"/>
      <x:c r="G535" s="13"/>
      <x:c r="H535" s="13"/>
      <x:c r="I535" s="13"/>
      <x:c r="J535" s="13"/>
      <x:c r="K535" s="13"/>
      <x:c r="L535" s="13"/>
      <x:c r="M535" s="13"/>
      <x:c r="N535" s="13"/>
      <x:c r="O535" s="13"/>
      <x:c r="P535" s="13"/>
    </x:row>
    <x:row r="536">
      <x:c r="E536" s="13"/>
      <x:c r="F536" s="13"/>
      <x:c r="G536" s="13"/>
      <x:c r="H536" s="13"/>
      <x:c r="I536" s="13"/>
      <x:c r="J536" s="13"/>
      <x:c r="K536" s="13"/>
      <x:c r="L536" s="13"/>
      <x:c r="M536" s="13"/>
      <x:c r="N536" s="13"/>
      <x:c r="O536" s="13"/>
      <x:c r="P536" s="13"/>
    </x:row>
    <x:row r="537">
      <x:c r="E537" s="13"/>
      <x:c r="F537" s="13"/>
      <x:c r="G537" s="13"/>
      <x:c r="H537" s="13"/>
      <x:c r="I537" s="13"/>
      <x:c r="J537" s="13"/>
      <x:c r="K537" s="13"/>
      <x:c r="L537" s="13"/>
      <x:c r="M537" s="13"/>
      <x:c r="N537" s="13"/>
      <x:c r="O537" s="13"/>
      <x:c r="P537" s="13"/>
    </x:row>
    <x:row r="538">
      <x:c r="E538" s="13"/>
      <x:c r="F538" s="13"/>
      <x:c r="G538" s="13"/>
      <x:c r="H538" s="13"/>
      <x:c r="I538" s="13"/>
      <x:c r="J538" s="13"/>
      <x:c r="K538" s="13"/>
      <x:c r="L538" s="13"/>
      <x:c r="M538" s="13"/>
      <x:c r="N538" s="13"/>
      <x:c r="O538" s="13"/>
      <x:c r="P538" s="13"/>
    </x:row>
    <x:row r="539">
      <x:c r="E539" s="13"/>
      <x:c r="F539" s="13"/>
      <x:c r="G539" s="13"/>
      <x:c r="H539" s="13"/>
      <x:c r="I539" s="13"/>
      <x:c r="J539" s="13"/>
      <x:c r="K539" s="13"/>
      <x:c r="L539" s="13"/>
      <x:c r="M539" s="13"/>
      <x:c r="N539" s="13"/>
      <x:c r="O539" s="13"/>
      <x:c r="P539" s="13"/>
    </x:row>
    <x:row r="540">
      <x:c r="E540" s="13"/>
      <x:c r="F540" s="13"/>
      <x:c r="G540" s="13"/>
      <x:c r="H540" s="13"/>
      <x:c r="I540" s="13"/>
      <x:c r="J540" s="13"/>
      <x:c r="K540" s="13"/>
      <x:c r="L540" s="13"/>
      <x:c r="M540" s="13"/>
      <x:c r="N540" s="13"/>
      <x:c r="O540" s="13"/>
      <x:c r="P540" s="13"/>
    </x:row>
    <x:row r="541">
      <x:c r="E541" s="13"/>
      <x:c r="F541" s="13"/>
      <x:c r="G541" s="13"/>
      <x:c r="H541" s="13"/>
      <x:c r="I541" s="13"/>
      <x:c r="J541" s="13"/>
      <x:c r="K541" s="13"/>
      <x:c r="L541" s="13"/>
      <x:c r="M541" s="13"/>
      <x:c r="N541" s="13"/>
      <x:c r="O541" s="13"/>
      <x:c r="P541" s="13"/>
    </x:row>
    <x:row r="542">
      <x:c r="E542" s="13"/>
      <x:c r="F542" s="13"/>
      <x:c r="G542" s="13"/>
      <x:c r="H542" s="13"/>
      <x:c r="I542" s="13"/>
      <x:c r="J542" s="13"/>
      <x:c r="K542" s="13"/>
      <x:c r="L542" s="13"/>
      <x:c r="M542" s="13"/>
      <x:c r="N542" s="13"/>
      <x:c r="O542" s="13"/>
      <x:c r="P542" s="13"/>
    </x:row>
    <x:row r="543">
      <x:c r="E543" s="13"/>
      <x:c r="F543" s="13"/>
      <x:c r="G543" s="13"/>
      <x:c r="H543" s="13"/>
      <x:c r="I543" s="13"/>
      <x:c r="J543" s="13"/>
      <x:c r="K543" s="13"/>
      <x:c r="L543" s="13"/>
      <x:c r="M543" s="13"/>
      <x:c r="N543" s="13"/>
      <x:c r="O543" s="13"/>
      <x:c r="P543" s="13"/>
    </x:row>
    <x:row r="544">
      <x:c r="E544" s="13"/>
      <x:c r="F544" s="13"/>
      <x:c r="G544" s="13"/>
      <x:c r="H544" s="13"/>
      <x:c r="I544" s="13"/>
      <x:c r="J544" s="13"/>
      <x:c r="K544" s="13"/>
      <x:c r="L544" s="13"/>
      <x:c r="M544" s="13"/>
      <x:c r="N544" s="13"/>
      <x:c r="O544" s="13"/>
      <x:c r="P544" s="13"/>
    </x:row>
    <x:row r="545">
      <x:c r="E545" s="13"/>
      <x:c r="F545" s="13"/>
      <x:c r="G545" s="13"/>
      <x:c r="H545" s="13"/>
      <x:c r="I545" s="13"/>
      <x:c r="J545" s="13"/>
      <x:c r="K545" s="13"/>
      <x:c r="L545" s="13"/>
      <x:c r="M545" s="13"/>
      <x:c r="N545" s="13"/>
      <x:c r="O545" s="13"/>
      <x:c r="P545" s="13"/>
    </x:row>
    <x:row r="546">
      <x:c r="E546" s="13"/>
      <x:c r="F546" s="13"/>
      <x:c r="G546" s="13"/>
      <x:c r="H546" s="13"/>
      <x:c r="I546" s="13"/>
      <x:c r="J546" s="13"/>
      <x:c r="K546" s="13"/>
      <x:c r="L546" s="13"/>
      <x:c r="M546" s="13"/>
      <x:c r="N546" s="13"/>
      <x:c r="O546" s="13"/>
      <x:c r="P546" s="13"/>
    </x:row>
    <x:row r="547">
      <x:c r="E547" s="13"/>
      <x:c r="F547" s="13"/>
      <x:c r="G547" s="13"/>
      <x:c r="H547" s="13"/>
      <x:c r="I547" s="13"/>
      <x:c r="J547" s="13"/>
      <x:c r="K547" s="13"/>
      <x:c r="L547" s="13"/>
      <x:c r="M547" s="13"/>
      <x:c r="N547" s="13"/>
      <x:c r="O547" s="13"/>
      <x:c r="P547" s="13"/>
    </x:row>
    <x:row r="548">
      <x:c r="E548" s="13"/>
      <x:c r="F548" s="13"/>
      <x:c r="G548" s="13"/>
      <x:c r="H548" s="13"/>
      <x:c r="I548" s="13"/>
      <x:c r="J548" s="13"/>
      <x:c r="K548" s="13"/>
      <x:c r="L548" s="13"/>
      <x:c r="M548" s="13"/>
      <x:c r="N548" s="13"/>
      <x:c r="O548" s="13"/>
      <x:c r="P548" s="13"/>
    </x:row>
    <x:row r="549">
      <x:c r="E549" s="13"/>
      <x:c r="F549" s="13"/>
      <x:c r="G549" s="13"/>
      <x:c r="H549" s="13"/>
      <x:c r="I549" s="13"/>
      <x:c r="J549" s="13"/>
      <x:c r="K549" s="13"/>
      <x:c r="L549" s="13"/>
      <x:c r="M549" s="13"/>
      <x:c r="N549" s="13"/>
      <x:c r="O549" s="13"/>
      <x:c r="P549" s="13"/>
    </x:row>
    <x:row r="550">
      <x:c r="E550" s="13"/>
      <x:c r="F550" s="13"/>
      <x:c r="G550" s="13"/>
      <x:c r="H550" s="13"/>
      <x:c r="I550" s="13"/>
      <x:c r="J550" s="13"/>
      <x:c r="K550" s="13"/>
      <x:c r="L550" s="13"/>
      <x:c r="M550" s="13"/>
      <x:c r="N550" s="13"/>
      <x:c r="O550" s="13"/>
      <x:c r="P550" s="13"/>
    </x:row>
    <x:row r="551">
      <x:c r="E551" s="13"/>
      <x:c r="F551" s="13"/>
      <x:c r="G551" s="13"/>
      <x:c r="H551" s="13"/>
      <x:c r="I551" s="13"/>
      <x:c r="J551" s="13"/>
      <x:c r="K551" s="13"/>
      <x:c r="L551" s="13"/>
      <x:c r="M551" s="13"/>
      <x:c r="N551" s="13"/>
      <x:c r="O551" s="13"/>
      <x:c r="P551" s="13"/>
    </x:row>
    <x:row r="552">
      <x:c r="E552" s="13"/>
      <x:c r="F552" s="13"/>
      <x:c r="G552" s="13"/>
      <x:c r="H552" s="13"/>
      <x:c r="I552" s="13"/>
      <x:c r="J552" s="13"/>
      <x:c r="K552" s="13"/>
      <x:c r="L552" s="13"/>
      <x:c r="M552" s="13"/>
      <x:c r="N552" s="13"/>
      <x:c r="O552" s="13"/>
      <x:c r="P552" s="13"/>
    </x:row>
    <x:row r="553">
      <x:c r="E553" s="13"/>
      <x:c r="F553" s="13"/>
      <x:c r="G553" s="13"/>
      <x:c r="H553" s="13"/>
      <x:c r="I553" s="13"/>
      <x:c r="J553" s="13"/>
      <x:c r="K553" s="13"/>
      <x:c r="L553" s="13"/>
      <x:c r="M553" s="13"/>
      <x:c r="N553" s="13"/>
      <x:c r="O553" s="13"/>
      <x:c r="P553" s="13"/>
    </x:row>
    <x:row r="554">
      <x:c r="E554" s="13"/>
      <x:c r="F554" s="13"/>
      <x:c r="G554" s="13"/>
      <x:c r="H554" s="13"/>
      <x:c r="I554" s="13"/>
      <x:c r="J554" s="13"/>
      <x:c r="K554" s="13"/>
      <x:c r="L554" s="13"/>
      <x:c r="M554" s="13"/>
      <x:c r="N554" s="13"/>
      <x:c r="O554" s="13"/>
      <x:c r="P554" s="13"/>
    </x:row>
    <x:row r="555">
      <x:c r="E555" s="13"/>
      <x:c r="F555" s="13"/>
      <x:c r="G555" s="13"/>
      <x:c r="H555" s="13"/>
      <x:c r="I555" s="13"/>
      <x:c r="J555" s="13"/>
      <x:c r="K555" s="13"/>
      <x:c r="L555" s="13"/>
      <x:c r="M555" s="13"/>
      <x:c r="N555" s="13"/>
      <x:c r="O555" s="13"/>
      <x:c r="P555" s="13"/>
    </x:row>
    <x:row r="556">
      <x:c r="E556" s="13"/>
      <x:c r="F556" s="13"/>
      <x:c r="G556" s="13"/>
      <x:c r="H556" s="13"/>
      <x:c r="I556" s="13"/>
      <x:c r="J556" s="13"/>
      <x:c r="K556" s="13"/>
      <x:c r="L556" s="13"/>
      <x:c r="M556" s="13"/>
      <x:c r="N556" s="13"/>
      <x:c r="O556" s="13"/>
      <x:c r="P556" s="13"/>
    </x:row>
    <x:row r="557">
      <x:c r="E557" s="13"/>
      <x:c r="F557" s="13"/>
      <x:c r="G557" s="13"/>
      <x:c r="H557" s="13"/>
      <x:c r="I557" s="13"/>
      <x:c r="J557" s="13"/>
      <x:c r="K557" s="13"/>
      <x:c r="L557" s="13"/>
      <x:c r="M557" s="13"/>
      <x:c r="N557" s="13"/>
      <x:c r="O557" s="13"/>
      <x:c r="P557" s="13"/>
    </x:row>
    <x:row r="558">
      <x:c r="E558" s="13"/>
      <x:c r="F558" s="13"/>
      <x:c r="G558" s="13"/>
      <x:c r="H558" s="13"/>
      <x:c r="I558" s="13"/>
      <x:c r="J558" s="13"/>
      <x:c r="K558" s="13"/>
      <x:c r="L558" s="13"/>
      <x:c r="M558" s="13"/>
      <x:c r="N558" s="13"/>
      <x:c r="O558" s="13"/>
      <x:c r="P558" s="13"/>
    </x:row>
    <x:row r="559">
      <x:c r="E559" s="13"/>
      <x:c r="F559" s="13"/>
      <x:c r="G559" s="13"/>
      <x:c r="H559" s="13"/>
      <x:c r="I559" s="13"/>
      <x:c r="J559" s="13"/>
      <x:c r="K559" s="13"/>
      <x:c r="L559" s="13"/>
      <x:c r="M559" s="13"/>
      <x:c r="N559" s="13"/>
      <x:c r="O559" s="13"/>
      <x:c r="P559" s="13"/>
    </x:row>
    <x:row r="560">
      <x:c r="E560" s="13"/>
      <x:c r="F560" s="13"/>
      <x:c r="G560" s="13"/>
      <x:c r="H560" s="13"/>
      <x:c r="I560" s="13"/>
      <x:c r="J560" s="13"/>
      <x:c r="K560" s="13"/>
      <x:c r="L560" s="13"/>
      <x:c r="M560" s="13"/>
      <x:c r="N560" s="13"/>
      <x:c r="O560" s="13"/>
      <x:c r="P560" s="13"/>
    </x:row>
    <x:row r="561">
      <x:c r="E561" s="13"/>
      <x:c r="F561" s="13"/>
      <x:c r="G561" s="13"/>
      <x:c r="H561" s="13"/>
      <x:c r="I561" s="13"/>
      <x:c r="J561" s="13"/>
      <x:c r="K561" s="13"/>
      <x:c r="L561" s="13"/>
      <x:c r="M561" s="13"/>
      <x:c r="N561" s="13"/>
      <x:c r="O561" s="13"/>
      <x:c r="P561" s="13"/>
    </x:row>
    <x:row r="562">
      <x:c r="E562" s="13"/>
      <x:c r="F562" s="13"/>
      <x:c r="G562" s="13"/>
      <x:c r="H562" s="13"/>
      <x:c r="I562" s="13"/>
      <x:c r="J562" s="13"/>
      <x:c r="K562" s="13"/>
      <x:c r="L562" s="13"/>
      <x:c r="M562" s="13"/>
      <x:c r="N562" s="13"/>
      <x:c r="O562" s="13"/>
      <x:c r="P562" s="13"/>
    </x:row>
    <x:row r="563">
      <x:c r="E563" s="13"/>
      <x:c r="F563" s="13"/>
      <x:c r="G563" s="13"/>
      <x:c r="H563" s="13"/>
      <x:c r="I563" s="13"/>
      <x:c r="J563" s="13"/>
      <x:c r="K563" s="13"/>
      <x:c r="L563" s="13"/>
      <x:c r="M563" s="13"/>
      <x:c r="N563" s="13"/>
      <x:c r="O563" s="13"/>
      <x:c r="P563" s="13"/>
    </x:row>
    <x:row r="564">
      <x:c r="E564" s="13"/>
      <x:c r="F564" s="13"/>
      <x:c r="G564" s="13"/>
      <x:c r="H564" s="13"/>
      <x:c r="I564" s="13"/>
      <x:c r="J564" s="13"/>
      <x:c r="K564" s="13"/>
      <x:c r="L564" s="13"/>
      <x:c r="M564" s="13"/>
      <x:c r="N564" s="13"/>
      <x:c r="O564" s="13"/>
      <x:c r="P564" s="13"/>
    </x:row>
    <x:row r="565">
      <x:c r="E565" s="13"/>
      <x:c r="F565" s="13"/>
      <x:c r="G565" s="13"/>
      <x:c r="H565" s="13"/>
      <x:c r="I565" s="13"/>
      <x:c r="J565" s="13"/>
      <x:c r="K565" s="13"/>
      <x:c r="L565" s="13"/>
      <x:c r="M565" s="13"/>
      <x:c r="N565" s="13"/>
      <x:c r="O565" s="13"/>
      <x:c r="P565" s="13"/>
    </x:row>
    <x:row r="566">
      <x:c r="E566" s="13"/>
      <x:c r="F566" s="13"/>
      <x:c r="G566" s="13"/>
      <x:c r="H566" s="13"/>
      <x:c r="I566" s="13"/>
      <x:c r="J566" s="13"/>
      <x:c r="K566" s="13"/>
      <x:c r="L566" s="13"/>
      <x:c r="M566" s="13"/>
      <x:c r="N566" s="13"/>
      <x:c r="O566" s="13"/>
      <x:c r="P566" s="13"/>
    </x:row>
    <x:row r="567">
      <x:c r="E567" s="13"/>
      <x:c r="F567" s="13"/>
      <x:c r="G567" s="13"/>
      <x:c r="H567" s="13"/>
      <x:c r="I567" s="13"/>
      <x:c r="J567" s="13"/>
      <x:c r="K567" s="13"/>
      <x:c r="L567" s="13"/>
      <x:c r="M567" s="13"/>
      <x:c r="N567" s="13"/>
      <x:c r="O567" s="13"/>
      <x:c r="P567" s="13"/>
    </x:row>
    <x:row r="568">
      <x:c r="E568" s="13"/>
      <x:c r="F568" s="13"/>
      <x:c r="G568" s="13"/>
      <x:c r="H568" s="13"/>
      <x:c r="I568" s="13"/>
      <x:c r="J568" s="13"/>
      <x:c r="K568" s="13"/>
      <x:c r="L568" s="13"/>
      <x:c r="M568" s="13"/>
      <x:c r="N568" s="13"/>
      <x:c r="O568" s="13"/>
      <x:c r="P568" s="13"/>
    </x:row>
    <x:row r="569">
      <x:c r="E569" s="13"/>
      <x:c r="F569" s="13"/>
      <x:c r="G569" s="13"/>
      <x:c r="H569" s="13"/>
      <x:c r="I569" s="13"/>
      <x:c r="J569" s="13"/>
      <x:c r="K569" s="13"/>
      <x:c r="L569" s="13"/>
      <x:c r="M569" s="13"/>
      <x:c r="N569" s="13"/>
      <x:c r="O569" s="13"/>
      <x:c r="P569" s="13"/>
    </x:row>
    <x:row r="570">
      <x:c r="E570" s="13"/>
      <x:c r="F570" s="13"/>
      <x:c r="G570" s="13"/>
      <x:c r="H570" s="13"/>
      <x:c r="I570" s="13"/>
      <x:c r="J570" s="13"/>
      <x:c r="K570" s="13"/>
      <x:c r="L570" s="13"/>
      <x:c r="M570" s="13"/>
      <x:c r="N570" s="13"/>
      <x:c r="O570" s="13"/>
      <x:c r="P570" s="13"/>
    </x:row>
    <x:row r="571">
      <x:c r="E571" s="13"/>
      <x:c r="F571" s="13"/>
      <x:c r="G571" s="13"/>
      <x:c r="H571" s="13"/>
      <x:c r="I571" s="13"/>
      <x:c r="J571" s="13"/>
      <x:c r="K571" s="13"/>
      <x:c r="L571" s="13"/>
      <x:c r="M571" s="13"/>
      <x:c r="N571" s="13"/>
      <x:c r="O571" s="13"/>
      <x:c r="P571" s="13"/>
    </x:row>
    <x:row r="572">
      <x:c r="E572" s="13"/>
      <x:c r="F572" s="13"/>
      <x:c r="G572" s="13"/>
      <x:c r="H572" s="13"/>
      <x:c r="I572" s="13"/>
      <x:c r="J572" s="13"/>
      <x:c r="K572" s="13"/>
      <x:c r="L572" s="13"/>
      <x:c r="M572" s="13"/>
      <x:c r="N572" s="13"/>
      <x:c r="O572" s="13"/>
      <x:c r="P572" s="13"/>
    </x:row>
    <x:row r="573">
      <x:c r="E573" s="13"/>
      <x:c r="F573" s="13"/>
      <x:c r="G573" s="13"/>
      <x:c r="H573" s="13"/>
      <x:c r="I573" s="13"/>
      <x:c r="J573" s="13"/>
      <x:c r="K573" s="13"/>
      <x:c r="L573" s="13"/>
      <x:c r="M573" s="13"/>
      <x:c r="N573" s="13"/>
      <x:c r="O573" s="13"/>
      <x:c r="P573" s="13"/>
    </x:row>
    <x:row r="574">
      <x:c r="E574" s="13"/>
      <x:c r="F574" s="13"/>
      <x:c r="G574" s="13"/>
      <x:c r="H574" s="13"/>
      <x:c r="I574" s="13"/>
      <x:c r="J574" s="13"/>
      <x:c r="K574" s="13"/>
      <x:c r="L574" s="13"/>
      <x:c r="M574" s="13"/>
      <x:c r="N574" s="13"/>
      <x:c r="O574" s="13"/>
      <x:c r="P574" s="13"/>
    </x:row>
    <x:row r="575">
      <x:c r="E575" s="13"/>
      <x:c r="F575" s="13"/>
      <x:c r="G575" s="13"/>
      <x:c r="H575" s="13"/>
      <x:c r="I575" s="13"/>
      <x:c r="J575" s="13"/>
      <x:c r="K575" s="13"/>
      <x:c r="L575" s="13"/>
      <x:c r="M575" s="13"/>
      <x:c r="N575" s="13"/>
      <x:c r="O575" s="13"/>
      <x:c r="P575" s="13"/>
    </x:row>
    <x:row r="576">
      <x:c r="E576" s="13"/>
      <x:c r="F576" s="13"/>
      <x:c r="G576" s="13"/>
      <x:c r="H576" s="13"/>
      <x:c r="I576" s="13"/>
      <x:c r="J576" s="13"/>
      <x:c r="K576" s="13"/>
      <x:c r="L576" s="13"/>
      <x:c r="M576" s="13"/>
      <x:c r="N576" s="13"/>
      <x:c r="O576" s="13"/>
      <x:c r="P576" s="13"/>
    </x:row>
    <x:row r="577">
      <x:c r="E577" s="13"/>
      <x:c r="F577" s="13"/>
      <x:c r="G577" s="13"/>
      <x:c r="H577" s="13"/>
      <x:c r="I577" s="13"/>
      <x:c r="J577" s="13"/>
      <x:c r="K577" s="13"/>
      <x:c r="L577" s="13"/>
      <x:c r="M577" s="13"/>
      <x:c r="N577" s="13"/>
      <x:c r="O577" s="13"/>
      <x:c r="P577" s="13"/>
    </x:row>
    <x:row r="578">
      <x:c r="E578" s="13"/>
      <x:c r="F578" s="13"/>
      <x:c r="G578" s="13"/>
      <x:c r="H578" s="13"/>
      <x:c r="I578" s="13"/>
      <x:c r="J578" s="13"/>
      <x:c r="K578" s="13"/>
      <x:c r="L578" s="13"/>
      <x:c r="M578" s="13"/>
      <x:c r="N578" s="13"/>
      <x:c r="O578" s="13"/>
      <x:c r="P578" s="13"/>
    </x:row>
    <x:row r="579">
      <x:c r="E579" s="13"/>
      <x:c r="F579" s="13"/>
      <x:c r="G579" s="13"/>
      <x:c r="H579" s="13"/>
      <x:c r="I579" s="13"/>
      <x:c r="J579" s="13"/>
      <x:c r="K579" s="13"/>
      <x:c r="L579" s="13"/>
      <x:c r="M579" s="13"/>
      <x:c r="N579" s="13"/>
      <x:c r="O579" s="13"/>
      <x:c r="P579" s="13"/>
    </x:row>
    <x:row r="580">
      <x:c r="E580" s="13"/>
      <x:c r="F580" s="13"/>
      <x:c r="G580" s="13"/>
      <x:c r="H580" s="13"/>
      <x:c r="I580" s="13"/>
      <x:c r="J580" s="13"/>
      <x:c r="K580" s="13"/>
      <x:c r="L580" s="13"/>
      <x:c r="M580" s="13"/>
      <x:c r="N580" s="13"/>
      <x:c r="O580" s="13"/>
      <x:c r="P580" s="13"/>
    </x:row>
    <x:row r="581">
      <x:c r="E581" s="13"/>
      <x:c r="F581" s="13"/>
      <x:c r="G581" s="13"/>
      <x:c r="H581" s="13"/>
      <x:c r="I581" s="13"/>
      <x:c r="J581" s="13"/>
      <x:c r="K581" s="13"/>
      <x:c r="L581" s="13"/>
      <x:c r="M581" s="13"/>
      <x:c r="N581" s="13"/>
      <x:c r="O581" s="13"/>
      <x:c r="P581" s="13"/>
    </x:row>
    <x:row r="582">
      <x:c r="E582" s="13"/>
      <x:c r="F582" s="13"/>
      <x:c r="G582" s="13"/>
      <x:c r="H582" s="13"/>
      <x:c r="I582" s="13"/>
      <x:c r="J582" s="13"/>
      <x:c r="K582" s="13"/>
      <x:c r="L582" s="13"/>
      <x:c r="M582" s="13"/>
      <x:c r="N582" s="13"/>
      <x:c r="O582" s="13"/>
      <x:c r="P582" s="13"/>
    </x:row>
    <x:row r="583">
      <x:c r="E583" s="13"/>
      <x:c r="F583" s="13"/>
      <x:c r="G583" s="13"/>
      <x:c r="H583" s="13"/>
      <x:c r="I583" s="13"/>
      <x:c r="J583" s="13"/>
      <x:c r="K583" s="13"/>
      <x:c r="L583" s="13"/>
      <x:c r="M583" s="13"/>
      <x:c r="N583" s="13"/>
      <x:c r="O583" s="13"/>
      <x:c r="P583" s="13"/>
    </x:row>
    <x:row r="584">
      <x:c r="E584" s="13"/>
      <x:c r="F584" s="13"/>
      <x:c r="G584" s="13"/>
      <x:c r="H584" s="13"/>
      <x:c r="I584" s="13"/>
      <x:c r="J584" s="13"/>
      <x:c r="K584" s="13"/>
      <x:c r="L584" s="13"/>
      <x:c r="M584" s="13"/>
      <x:c r="N584" s="13"/>
      <x:c r="O584" s="13"/>
      <x:c r="P584" s="13"/>
    </x:row>
    <x:row r="585">
      <x:c r="E585" s="13"/>
      <x:c r="F585" s="13"/>
      <x:c r="G585" s="13"/>
      <x:c r="H585" s="13"/>
      <x:c r="I585" s="13"/>
      <x:c r="J585" s="13"/>
      <x:c r="K585" s="13"/>
      <x:c r="L585" s="13"/>
      <x:c r="M585" s="13"/>
      <x:c r="N585" s="13"/>
      <x:c r="O585" s="13"/>
      <x:c r="P585" s="13"/>
    </x:row>
    <x:row r="586">
      <x:c r="E586" s="13"/>
      <x:c r="F586" s="13"/>
      <x:c r="G586" s="13"/>
      <x:c r="H586" s="13"/>
      <x:c r="I586" s="13"/>
      <x:c r="J586" s="13"/>
      <x:c r="K586" s="13"/>
      <x:c r="L586" s="13"/>
      <x:c r="M586" s="13"/>
      <x:c r="N586" s="13"/>
      <x:c r="O586" s="13"/>
      <x:c r="P586" s="13"/>
    </x:row>
    <x:row r="587">
      <x:c r="E587" s="13"/>
      <x:c r="F587" s="13"/>
      <x:c r="G587" s="13"/>
      <x:c r="H587" s="13"/>
      <x:c r="I587" s="13"/>
      <x:c r="J587" s="13"/>
      <x:c r="K587" s="13"/>
      <x:c r="L587" s="13"/>
      <x:c r="M587" s="13"/>
      <x:c r="N587" s="13"/>
      <x:c r="O587" s="13"/>
      <x:c r="P587" s="13"/>
    </x:row>
    <x:row r="588">
      <x:c r="E588" s="13"/>
      <x:c r="F588" s="13"/>
      <x:c r="G588" s="13"/>
      <x:c r="H588" s="13"/>
      <x:c r="I588" s="13"/>
      <x:c r="J588" s="13"/>
      <x:c r="K588" s="13"/>
      <x:c r="L588" s="13"/>
      <x:c r="M588" s="13"/>
      <x:c r="N588" s="13"/>
      <x:c r="O588" s="13"/>
      <x:c r="P588" s="13"/>
    </x:row>
    <x:row r="589">
      <x:c r="E589" s="13"/>
      <x:c r="F589" s="13"/>
      <x:c r="G589" s="13"/>
      <x:c r="H589" s="13"/>
      <x:c r="I589" s="13"/>
      <x:c r="J589" s="13"/>
      <x:c r="K589" s="13"/>
      <x:c r="L589" s="13"/>
      <x:c r="M589" s="13"/>
      <x:c r="N589" s="13"/>
      <x:c r="O589" s="13"/>
      <x:c r="P589" s="13"/>
    </x:row>
    <x:row r="590">
      <x:c r="E590" s="13"/>
      <x:c r="F590" s="13"/>
      <x:c r="G590" s="13"/>
      <x:c r="H590" s="13"/>
      <x:c r="I590" s="13"/>
      <x:c r="J590" s="13"/>
      <x:c r="K590" s="13"/>
      <x:c r="L590" s="13"/>
      <x:c r="M590" s="13"/>
      <x:c r="N590" s="13"/>
      <x:c r="O590" s="13"/>
      <x:c r="P590" s="13"/>
    </x:row>
    <x:row r="591">
      <x:c r="E591" s="13"/>
      <x:c r="F591" s="13"/>
      <x:c r="G591" s="13"/>
      <x:c r="H591" s="13"/>
      <x:c r="I591" s="13"/>
      <x:c r="J591" s="13"/>
      <x:c r="K591" s="13"/>
      <x:c r="L591" s="13"/>
      <x:c r="M591" s="13"/>
      <x:c r="N591" s="13"/>
      <x:c r="O591" s="13"/>
      <x:c r="P591" s="13"/>
    </x:row>
    <x:row r="592">
      <x:c r="E592" s="13"/>
      <x:c r="F592" s="13"/>
      <x:c r="G592" s="13"/>
      <x:c r="H592" s="13"/>
      <x:c r="I592" s="13"/>
      <x:c r="J592" s="13"/>
      <x:c r="K592" s="13"/>
      <x:c r="L592" s="13"/>
      <x:c r="M592" s="13"/>
      <x:c r="N592" s="13"/>
      <x:c r="O592" s="13"/>
      <x:c r="P592" s="13"/>
    </x:row>
    <x:row r="593">
      <x:c r="E593" s="13"/>
      <x:c r="F593" s="13"/>
      <x:c r="G593" s="13"/>
      <x:c r="H593" s="13"/>
      <x:c r="I593" s="13"/>
      <x:c r="J593" s="13"/>
      <x:c r="K593" s="13"/>
      <x:c r="L593" s="13"/>
      <x:c r="M593" s="13"/>
      <x:c r="N593" s="13"/>
      <x:c r="O593" s="13"/>
      <x:c r="P593" s="13"/>
    </x:row>
    <x:row r="594">
      <x:c r="E594" s="13"/>
      <x:c r="F594" s="13"/>
      <x:c r="G594" s="13"/>
      <x:c r="H594" s="13"/>
      <x:c r="I594" s="13"/>
      <x:c r="J594" s="13"/>
      <x:c r="K594" s="13"/>
      <x:c r="L594" s="13"/>
      <x:c r="M594" s="13"/>
      <x:c r="N594" s="13"/>
      <x:c r="O594" s="13"/>
      <x:c r="P594" s="13"/>
    </x:row>
    <x:row r="595">
      <x:c r="E595" s="13"/>
      <x:c r="F595" s="13"/>
      <x:c r="G595" s="13"/>
      <x:c r="H595" s="13"/>
      <x:c r="I595" s="13"/>
      <x:c r="J595" s="13"/>
      <x:c r="K595" s="13"/>
      <x:c r="L595" s="13"/>
      <x:c r="M595" s="13"/>
      <x:c r="N595" s="13"/>
      <x:c r="O595" s="13"/>
      <x:c r="P595" s="13"/>
    </x:row>
    <x:row r="596">
      <x:c r="E596" s="13"/>
      <x:c r="F596" s="13"/>
      <x:c r="G596" s="13"/>
      <x:c r="H596" s="13"/>
      <x:c r="I596" s="13"/>
      <x:c r="J596" s="13"/>
      <x:c r="K596" s="13"/>
      <x:c r="L596" s="13"/>
      <x:c r="M596" s="13"/>
      <x:c r="N596" s="13"/>
      <x:c r="O596" s="13"/>
      <x:c r="P596" s="13"/>
    </x:row>
    <x:row r="597">
      <x:c r="E597" s="13"/>
      <x:c r="F597" s="13"/>
      <x:c r="G597" s="13"/>
      <x:c r="H597" s="13"/>
      <x:c r="I597" s="13"/>
      <x:c r="J597" s="13"/>
      <x:c r="K597" s="13"/>
      <x:c r="L597" s="13"/>
      <x:c r="M597" s="13"/>
      <x:c r="N597" s="13"/>
      <x:c r="O597" s="13"/>
      <x:c r="P597" s="13"/>
    </x:row>
    <x:row r="598">
      <x:c r="E598" s="13"/>
      <x:c r="F598" s="13"/>
      <x:c r="G598" s="13"/>
      <x:c r="H598" s="13"/>
      <x:c r="I598" s="13"/>
      <x:c r="J598" s="13"/>
      <x:c r="K598" s="13"/>
      <x:c r="L598" s="13"/>
      <x:c r="M598" s="13"/>
      <x:c r="N598" s="13"/>
      <x:c r="O598" s="13"/>
      <x:c r="P598" s="13"/>
    </x:row>
    <x:row r="599">
      <x:c r="E599" s="13"/>
      <x:c r="F599" s="13"/>
      <x:c r="G599" s="13"/>
      <x:c r="H599" s="13"/>
      <x:c r="I599" s="13"/>
      <x:c r="J599" s="13"/>
      <x:c r="K599" s="13"/>
      <x:c r="L599" s="13"/>
      <x:c r="M599" s="13"/>
      <x:c r="N599" s="13"/>
      <x:c r="O599" s="13"/>
      <x:c r="P599" s="13"/>
    </x:row>
    <x:row r="600">
      <x:c r="E600" s="13"/>
      <x:c r="F600" s="13"/>
      <x:c r="G600" s="13"/>
      <x:c r="H600" s="13"/>
      <x:c r="I600" s="13"/>
      <x:c r="J600" s="13"/>
      <x:c r="K600" s="13"/>
      <x:c r="L600" s="13"/>
      <x:c r="M600" s="13"/>
      <x:c r="N600" s="13"/>
      <x:c r="O600" s="13"/>
      <x:c r="P600" s="13"/>
    </x:row>
    <x:row r="601">
      <x:c r="E601" s="13"/>
      <x:c r="F601" s="13"/>
      <x:c r="G601" s="13"/>
      <x:c r="H601" s="13"/>
      <x:c r="I601" s="13"/>
      <x:c r="J601" s="13"/>
      <x:c r="K601" s="13"/>
      <x:c r="L601" s="13"/>
      <x:c r="M601" s="13"/>
      <x:c r="N601" s="13"/>
      <x:c r="O601" s="13"/>
      <x:c r="P601" s="13"/>
    </x:row>
    <x:row r="602">
      <x:c r="E602" s="13"/>
      <x:c r="F602" s="13"/>
      <x:c r="G602" s="13"/>
      <x:c r="H602" s="13"/>
      <x:c r="I602" s="13"/>
      <x:c r="J602" s="13"/>
      <x:c r="K602" s="13"/>
      <x:c r="L602" s="13"/>
      <x:c r="M602" s="13"/>
      <x:c r="N602" s="13"/>
      <x:c r="O602" s="13"/>
      <x:c r="P602" s="13"/>
    </x:row>
    <x:row r="603">
      <x:c r="E603" s="13"/>
      <x:c r="F603" s="13"/>
      <x:c r="G603" s="13"/>
      <x:c r="H603" s="13"/>
      <x:c r="I603" s="13"/>
      <x:c r="J603" s="13"/>
      <x:c r="K603" s="13"/>
      <x:c r="L603" s="13"/>
      <x:c r="M603" s="13"/>
      <x:c r="N603" s="13"/>
      <x:c r="O603" s="13"/>
      <x:c r="P603" s="13"/>
    </x:row>
    <x:row r="604">
      <x:c r="E604" s="13"/>
      <x:c r="F604" s="13"/>
      <x:c r="G604" s="13"/>
      <x:c r="H604" s="13"/>
      <x:c r="I604" s="13"/>
      <x:c r="J604" s="13"/>
      <x:c r="K604" s="13"/>
      <x:c r="L604" s="13"/>
      <x:c r="M604" s="13"/>
      <x:c r="N604" s="13"/>
      <x:c r="O604" s="13"/>
      <x:c r="P604" s="13"/>
    </x:row>
    <x:row r="605">
      <x:c r="E605" s="13"/>
      <x:c r="F605" s="13"/>
      <x:c r="G605" s="13"/>
      <x:c r="H605" s="13"/>
      <x:c r="I605" s="13"/>
      <x:c r="J605" s="13"/>
      <x:c r="K605" s="13"/>
      <x:c r="L605" s="13"/>
      <x:c r="M605" s="13"/>
      <x:c r="N605" s="13"/>
      <x:c r="O605" s="13"/>
      <x:c r="P605" s="13"/>
    </x:row>
    <x:row r="606">
      <x:c r="E606" s="13"/>
      <x:c r="F606" s="13"/>
      <x:c r="G606" s="13"/>
      <x:c r="H606" s="13"/>
      <x:c r="I606" s="13"/>
      <x:c r="J606" s="13"/>
      <x:c r="K606" s="13"/>
      <x:c r="L606" s="13"/>
      <x:c r="M606" s="13"/>
      <x:c r="N606" s="13"/>
      <x:c r="O606" s="13"/>
      <x:c r="P606" s="13"/>
    </x:row>
    <x:row r="607">
      <x:c r="E607" s="13"/>
      <x:c r="F607" s="13"/>
      <x:c r="G607" s="13"/>
      <x:c r="H607" s="13"/>
      <x:c r="I607" s="13"/>
      <x:c r="J607" s="13"/>
      <x:c r="K607" s="13"/>
      <x:c r="L607" s="13"/>
      <x:c r="M607" s="13"/>
      <x:c r="N607" s="13"/>
      <x:c r="O607" s="13"/>
      <x:c r="P607" s="13"/>
    </x:row>
    <x:row r="608">
      <x:c r="E608" s="13"/>
      <x:c r="F608" s="13"/>
      <x:c r="G608" s="13"/>
      <x:c r="H608" s="13"/>
      <x:c r="I608" s="13"/>
      <x:c r="J608" s="13"/>
      <x:c r="K608" s="13"/>
      <x:c r="L608" s="13"/>
      <x:c r="M608" s="13"/>
      <x:c r="N608" s="13"/>
      <x:c r="O608" s="13"/>
      <x:c r="P608" s="13"/>
    </x:row>
    <x:row r="609">
      <x:c r="E609" s="13"/>
      <x:c r="F609" s="13"/>
      <x:c r="G609" s="13"/>
      <x:c r="H609" s="13"/>
      <x:c r="I609" s="13"/>
      <x:c r="J609" s="13"/>
      <x:c r="K609" s="13"/>
      <x:c r="L609" s="13"/>
      <x:c r="M609" s="13"/>
      <x:c r="N609" s="13"/>
      <x:c r="O609" s="13"/>
      <x:c r="P609" s="13"/>
    </x:row>
    <x:row r="610">
      <x:c r="E610" s="13"/>
      <x:c r="F610" s="13"/>
      <x:c r="G610" s="13"/>
      <x:c r="H610" s="13"/>
      <x:c r="I610" s="13"/>
      <x:c r="J610" s="13"/>
      <x:c r="K610" s="13"/>
      <x:c r="L610" s="13"/>
      <x:c r="M610" s="13"/>
      <x:c r="N610" s="13"/>
      <x:c r="O610" s="13"/>
      <x:c r="P610" s="13"/>
    </x:row>
    <x:row r="611">
      <x:c r="E611" s="13"/>
      <x:c r="F611" s="13"/>
      <x:c r="G611" s="13"/>
      <x:c r="H611" s="13"/>
      <x:c r="I611" s="13"/>
      <x:c r="J611" s="13"/>
      <x:c r="K611" s="13"/>
      <x:c r="L611" s="13"/>
      <x:c r="M611" s="13"/>
      <x:c r="N611" s="13"/>
      <x:c r="O611" s="13"/>
      <x:c r="P611" s="13"/>
    </x:row>
    <x:row r="612">
      <x:c r="E612" s="13"/>
      <x:c r="F612" s="13"/>
      <x:c r="G612" s="13"/>
      <x:c r="H612" s="13"/>
      <x:c r="I612" s="13"/>
      <x:c r="J612" s="13"/>
      <x:c r="K612" s="13"/>
      <x:c r="L612" s="13"/>
      <x:c r="M612" s="13"/>
      <x:c r="N612" s="13"/>
      <x:c r="O612" s="13"/>
      <x:c r="P612" s="13"/>
    </x:row>
    <x:row r="613">
      <x:c r="E613" s="13"/>
      <x:c r="F613" s="13"/>
      <x:c r="G613" s="13"/>
      <x:c r="H613" s="13"/>
      <x:c r="I613" s="13"/>
      <x:c r="J613" s="13"/>
      <x:c r="K613" s="13"/>
      <x:c r="L613" s="13"/>
      <x:c r="M613" s="13"/>
      <x:c r="N613" s="13"/>
      <x:c r="O613" s="13"/>
      <x:c r="P613" s="13"/>
    </x:row>
    <x:row r="614">
      <x:c r="E614" s="13"/>
      <x:c r="F614" s="13"/>
      <x:c r="G614" s="13"/>
      <x:c r="H614" s="13"/>
      <x:c r="I614" s="13"/>
      <x:c r="J614" s="13"/>
      <x:c r="K614" s="13"/>
      <x:c r="L614" s="13"/>
      <x:c r="M614" s="13"/>
      <x:c r="N614" s="13"/>
      <x:c r="O614" s="13"/>
      <x:c r="P614" s="13"/>
    </x:row>
    <x:row r="615">
      <x:c r="E615" s="13"/>
      <x:c r="F615" s="13"/>
      <x:c r="G615" s="13"/>
      <x:c r="H615" s="13"/>
      <x:c r="I615" s="13"/>
      <x:c r="J615" s="13"/>
      <x:c r="K615" s="13"/>
      <x:c r="L615" s="13"/>
      <x:c r="M615" s="13"/>
      <x:c r="N615" s="13"/>
      <x:c r="O615" s="13"/>
      <x:c r="P615" s="13"/>
    </x:row>
    <x:row r="616">
      <x:c r="E616" s="13"/>
      <x:c r="F616" s="13"/>
      <x:c r="G616" s="13"/>
      <x:c r="H616" s="13"/>
      <x:c r="I616" s="13"/>
      <x:c r="J616" s="13"/>
      <x:c r="K616" s="13"/>
      <x:c r="L616" s="13"/>
      <x:c r="M616" s="13"/>
      <x:c r="N616" s="13"/>
      <x:c r="O616" s="13"/>
      <x:c r="P616" s="13"/>
    </x:row>
    <x:row r="617">
      <x:c r="E617" s="13"/>
      <x:c r="F617" s="13"/>
      <x:c r="G617" s="13"/>
      <x:c r="H617" s="13"/>
      <x:c r="I617" s="13"/>
      <x:c r="J617" s="13"/>
      <x:c r="K617" s="13"/>
      <x:c r="L617" s="13"/>
      <x:c r="M617" s="13"/>
      <x:c r="N617" s="13"/>
      <x:c r="O617" s="13"/>
      <x:c r="P617" s="13"/>
    </x:row>
    <x:row r="618">
      <x:c r="E618" s="13"/>
      <x:c r="F618" s="13"/>
      <x:c r="G618" s="13"/>
      <x:c r="H618" s="13"/>
      <x:c r="I618" s="13"/>
      <x:c r="J618" s="13"/>
      <x:c r="K618" s="13"/>
      <x:c r="L618" s="13"/>
      <x:c r="M618" s="13"/>
      <x:c r="N618" s="13"/>
      <x:c r="O618" s="13"/>
      <x:c r="P618" s="13"/>
    </x:row>
    <x:row r="619">
      <x:c r="E619" s="13"/>
      <x:c r="F619" s="13"/>
      <x:c r="G619" s="13"/>
      <x:c r="H619" s="13"/>
      <x:c r="I619" s="13"/>
      <x:c r="J619" s="13"/>
      <x:c r="K619" s="13"/>
      <x:c r="L619" s="13"/>
      <x:c r="M619" s="13"/>
      <x:c r="N619" s="13"/>
      <x:c r="O619" s="13"/>
      <x:c r="P619" s="13"/>
    </x:row>
    <x:row r="620">
      <x:c r="E620" s="13"/>
      <x:c r="F620" s="13"/>
      <x:c r="G620" s="13"/>
      <x:c r="H620" s="13"/>
      <x:c r="I620" s="13"/>
      <x:c r="J620" s="13"/>
      <x:c r="K620" s="13"/>
      <x:c r="L620" s="13"/>
      <x:c r="M620" s="13"/>
      <x:c r="N620" s="13"/>
      <x:c r="O620" s="13"/>
      <x:c r="P620" s="13"/>
    </x:row>
    <x:row r="621">
      <x:c r="E621" s="13"/>
      <x:c r="F621" s="13"/>
      <x:c r="G621" s="13"/>
      <x:c r="H621" s="13"/>
      <x:c r="I621" s="13"/>
      <x:c r="J621" s="13"/>
      <x:c r="K621" s="13"/>
      <x:c r="L621" s="13"/>
      <x:c r="M621" s="13"/>
      <x:c r="N621" s="13"/>
      <x:c r="O621" s="13"/>
      <x:c r="P621" s="13"/>
    </x:row>
    <x:row r="622">
      <x:c r="E622" s="13"/>
      <x:c r="F622" s="13"/>
      <x:c r="G622" s="13"/>
      <x:c r="H622" s="13"/>
      <x:c r="I622" s="13"/>
      <x:c r="J622" s="13"/>
      <x:c r="K622" s="13"/>
      <x:c r="L622" s="13"/>
      <x:c r="M622" s="13"/>
      <x:c r="N622" s="13"/>
      <x:c r="O622" s="13"/>
      <x:c r="P622" s="13"/>
    </x:row>
    <x:row r="623">
      <x:c r="E623" s="13"/>
      <x:c r="F623" s="13"/>
      <x:c r="G623" s="13"/>
      <x:c r="H623" s="13"/>
      <x:c r="I623" s="13"/>
      <x:c r="J623" s="13"/>
      <x:c r="K623" s="13"/>
      <x:c r="L623" s="13"/>
      <x:c r="M623" s="13"/>
      <x:c r="N623" s="13"/>
      <x:c r="O623" s="13"/>
      <x:c r="P623" s="13"/>
    </x:row>
    <x:row r="624">
      <x:c r="E624" s="13"/>
      <x:c r="F624" s="13"/>
      <x:c r="G624" s="13"/>
      <x:c r="H624" s="13"/>
      <x:c r="I624" s="13"/>
      <x:c r="J624" s="13"/>
      <x:c r="K624" s="13"/>
      <x:c r="L624" s="13"/>
      <x:c r="M624" s="13"/>
      <x:c r="N624" s="13"/>
      <x:c r="O624" s="13"/>
      <x:c r="P624" s="13"/>
    </x:row>
    <x:row r="625">
      <x:c r="E625" s="13"/>
      <x:c r="F625" s="13"/>
      <x:c r="G625" s="13"/>
      <x:c r="H625" s="13"/>
      <x:c r="I625" s="13"/>
      <x:c r="J625" s="13"/>
      <x:c r="K625" s="13"/>
      <x:c r="L625" s="13"/>
      <x:c r="M625" s="13"/>
      <x:c r="N625" s="13"/>
      <x:c r="O625" s="13"/>
      <x:c r="P625" s="13"/>
    </x:row>
    <x:row r="626">
      <x:c r="E626" s="13"/>
      <x:c r="F626" s="13"/>
      <x:c r="G626" s="13"/>
      <x:c r="H626" s="13"/>
      <x:c r="I626" s="13"/>
      <x:c r="J626" s="13"/>
      <x:c r="K626" s="13"/>
      <x:c r="L626" s="13"/>
      <x:c r="M626" s="13"/>
      <x:c r="N626" s="13"/>
      <x:c r="O626" s="13"/>
      <x:c r="P626" s="13"/>
    </x:row>
    <x:row r="627">
      <x:c r="E627" s="13"/>
      <x:c r="F627" s="13"/>
      <x:c r="G627" s="13"/>
      <x:c r="H627" s="13"/>
      <x:c r="I627" s="13"/>
      <x:c r="J627" s="13"/>
      <x:c r="K627" s="13"/>
      <x:c r="L627" s="13"/>
      <x:c r="M627" s="13"/>
      <x:c r="N627" s="13"/>
      <x:c r="O627" s="13"/>
      <x:c r="P627" s="13"/>
    </x:row>
    <x:row r="628">
      <x:c r="E628" s="13"/>
      <x:c r="F628" s="13"/>
      <x:c r="G628" s="13"/>
      <x:c r="H628" s="13"/>
      <x:c r="I628" s="13"/>
      <x:c r="J628" s="13"/>
      <x:c r="K628" s="13"/>
      <x:c r="L628" s="13"/>
      <x:c r="M628" s="13"/>
      <x:c r="N628" s="13"/>
      <x:c r="O628" s="13"/>
      <x:c r="P628" s="13"/>
    </x:row>
    <x:row r="629">
      <x:c r="E629" s="13"/>
      <x:c r="F629" s="13"/>
      <x:c r="G629" s="13"/>
      <x:c r="H629" s="13"/>
      <x:c r="I629" s="13"/>
      <x:c r="J629" s="13"/>
      <x:c r="K629" s="13"/>
      <x:c r="L629" s="13"/>
      <x:c r="M629" s="13"/>
      <x:c r="N629" s="13"/>
      <x:c r="O629" s="13"/>
      <x:c r="P629" s="13"/>
    </x:row>
    <x:row r="630">
      <x:c r="E630" s="13"/>
      <x:c r="F630" s="13"/>
      <x:c r="G630" s="13"/>
      <x:c r="H630" s="13"/>
      <x:c r="I630" s="13"/>
      <x:c r="J630" s="13"/>
      <x:c r="K630" s="13"/>
      <x:c r="L630" s="13"/>
      <x:c r="M630" s="13"/>
      <x:c r="N630" s="13"/>
      <x:c r="O630" s="13"/>
      <x:c r="P630" s="13"/>
    </x:row>
    <x:row r="631">
      <x:c r="E631" s="13"/>
      <x:c r="F631" s="13"/>
      <x:c r="G631" s="13"/>
      <x:c r="H631" s="13"/>
      <x:c r="I631" s="13"/>
      <x:c r="J631" s="13"/>
      <x:c r="K631" s="13"/>
      <x:c r="L631" s="13"/>
      <x:c r="M631" s="13"/>
      <x:c r="N631" s="13"/>
      <x:c r="O631" s="13"/>
      <x:c r="P631" s="13"/>
    </x:row>
    <x:row r="632">
      <x:c r="E632" s="13"/>
      <x:c r="F632" s="13"/>
      <x:c r="G632" s="13"/>
      <x:c r="H632" s="13"/>
      <x:c r="I632" s="13"/>
      <x:c r="J632" s="13"/>
      <x:c r="K632" s="13"/>
      <x:c r="L632" s="13"/>
      <x:c r="M632" s="13"/>
      <x:c r="N632" s="13"/>
      <x:c r="O632" s="13"/>
      <x:c r="P632" s="13"/>
    </x:row>
    <x:row r="633">
      <x:c r="E633" s="13"/>
      <x:c r="F633" s="13"/>
      <x:c r="G633" s="13"/>
      <x:c r="H633" s="13"/>
      <x:c r="I633" s="13"/>
      <x:c r="J633" s="13"/>
      <x:c r="K633" s="13"/>
      <x:c r="L633" s="13"/>
      <x:c r="M633" s="13"/>
      <x:c r="N633" s="13"/>
      <x:c r="O633" s="13"/>
      <x:c r="P633" s="13"/>
    </x:row>
    <x:row r="634">
      <x:c r="E634" s="13"/>
      <x:c r="F634" s="13"/>
      <x:c r="G634" s="13"/>
      <x:c r="H634" s="13"/>
      <x:c r="I634" s="13"/>
      <x:c r="J634" s="13"/>
      <x:c r="K634" s="13"/>
      <x:c r="L634" s="13"/>
      <x:c r="M634" s="13"/>
      <x:c r="N634" s="13"/>
      <x:c r="O634" s="13"/>
      <x:c r="P634" s="13"/>
    </x:row>
    <x:row r="635">
      <x:c r="E635" s="13"/>
      <x:c r="F635" s="13"/>
      <x:c r="G635" s="13"/>
      <x:c r="H635" s="13"/>
      <x:c r="I635" s="13"/>
      <x:c r="J635" s="13"/>
      <x:c r="K635" s="13"/>
      <x:c r="L635" s="13"/>
      <x:c r="M635" s="13"/>
      <x:c r="N635" s="13"/>
      <x:c r="O635" s="13"/>
      <x:c r="P635" s="13"/>
    </x:row>
    <x:row r="636">
      <x:c r="E636" s="13"/>
      <x:c r="F636" s="13"/>
      <x:c r="G636" s="13"/>
      <x:c r="H636" s="13"/>
      <x:c r="I636" s="13"/>
      <x:c r="J636" s="13"/>
      <x:c r="K636" s="13"/>
      <x:c r="L636" s="13"/>
      <x:c r="M636" s="13"/>
      <x:c r="N636" s="13"/>
      <x:c r="O636" s="13"/>
      <x:c r="P636" s="13"/>
    </x:row>
    <x:row r="637">
      <x:c r="E637" s="13"/>
      <x:c r="F637" s="13"/>
      <x:c r="G637" s="13"/>
      <x:c r="H637" s="13"/>
      <x:c r="I637" s="13"/>
      <x:c r="J637" s="13"/>
      <x:c r="K637" s="13"/>
      <x:c r="L637" s="13"/>
      <x:c r="M637" s="13"/>
      <x:c r="N637" s="13"/>
      <x:c r="O637" s="13"/>
      <x:c r="P637" s="13"/>
    </x:row>
    <x:row r="638">
      <x:c r="E638" s="13"/>
      <x:c r="F638" s="13"/>
      <x:c r="G638" s="13"/>
      <x:c r="H638" s="13"/>
      <x:c r="I638" s="13"/>
      <x:c r="J638" s="13"/>
      <x:c r="K638" s="13"/>
      <x:c r="L638" s="13"/>
      <x:c r="M638" s="13"/>
      <x:c r="N638" s="13"/>
      <x:c r="O638" s="13"/>
      <x:c r="P638" s="13"/>
    </x:row>
    <x:row r="639">
      <x:c r="E639" s="13"/>
      <x:c r="F639" s="13"/>
      <x:c r="G639" s="13"/>
      <x:c r="H639" s="13"/>
      <x:c r="I639" s="13"/>
      <x:c r="J639" s="13"/>
      <x:c r="K639" s="13"/>
      <x:c r="L639" s="13"/>
      <x:c r="M639" s="13"/>
      <x:c r="N639" s="13"/>
      <x:c r="O639" s="13"/>
      <x:c r="P639" s="13"/>
    </x:row>
    <x:row r="640">
      <x:c r="E640" s="13"/>
      <x:c r="F640" s="13"/>
      <x:c r="G640" s="13"/>
      <x:c r="H640" s="13"/>
      <x:c r="I640" s="13"/>
      <x:c r="J640" s="13"/>
      <x:c r="K640" s="13"/>
      <x:c r="L640" s="13"/>
      <x:c r="M640" s="13"/>
      <x:c r="N640" s="13"/>
      <x:c r="O640" s="13"/>
      <x:c r="P640" s="13"/>
    </x:row>
    <x:row r="641">
      <x:c r="E641" s="13"/>
      <x:c r="F641" s="13"/>
      <x:c r="G641" s="13"/>
      <x:c r="H641" s="13"/>
      <x:c r="I641" s="13"/>
      <x:c r="J641" s="13"/>
      <x:c r="K641" s="13"/>
      <x:c r="L641" s="13"/>
      <x:c r="M641" s="13"/>
      <x:c r="N641" s="13"/>
      <x:c r="O641" s="13"/>
      <x:c r="P641" s="13"/>
    </x:row>
    <x:row r="642">
      <x:c r="E642" s="13"/>
      <x:c r="F642" s="13"/>
      <x:c r="G642" s="13"/>
      <x:c r="H642" s="13"/>
      <x:c r="I642" s="13"/>
      <x:c r="J642" s="13"/>
      <x:c r="K642" s="13"/>
      <x:c r="L642" s="13"/>
      <x:c r="M642" s="13"/>
      <x:c r="N642" s="13"/>
      <x:c r="O642" s="13"/>
      <x:c r="P642" s="13"/>
    </x:row>
    <x:row r="643">
      <x:c r="E643" s="13"/>
      <x:c r="F643" s="13"/>
      <x:c r="G643" s="13"/>
      <x:c r="H643" s="13"/>
      <x:c r="I643" s="13"/>
      <x:c r="J643" s="13"/>
      <x:c r="K643" s="13"/>
      <x:c r="L643" s="13"/>
      <x:c r="M643" s="13"/>
      <x:c r="N643" s="13"/>
      <x:c r="O643" s="13"/>
      <x:c r="P643" s="13"/>
    </x:row>
    <x:row r="644">
      <x:c r="E644" s="13"/>
      <x:c r="F644" s="13"/>
      <x:c r="G644" s="13"/>
      <x:c r="H644" s="13"/>
      <x:c r="I644" s="13"/>
      <x:c r="J644" s="13"/>
      <x:c r="K644" s="13"/>
      <x:c r="L644" s="13"/>
      <x:c r="M644" s="13"/>
      <x:c r="N644" s="13"/>
      <x:c r="O644" s="13"/>
      <x:c r="P644" s="13"/>
    </x:row>
    <x:row r="645">
      <x:c r="E645" s="13"/>
      <x:c r="F645" s="13"/>
      <x:c r="G645" s="13"/>
      <x:c r="H645" s="13"/>
      <x:c r="I645" s="13"/>
      <x:c r="J645" s="13"/>
      <x:c r="K645" s="13"/>
      <x:c r="L645" s="13"/>
      <x:c r="M645" s="13"/>
      <x:c r="N645" s="13"/>
      <x:c r="O645" s="13"/>
      <x:c r="P645" s="13"/>
    </x:row>
    <x:row r="646">
      <x:c r="E646" s="13"/>
      <x:c r="F646" s="13"/>
      <x:c r="G646" s="13"/>
      <x:c r="H646" s="13"/>
      <x:c r="I646" s="13"/>
      <x:c r="J646" s="13"/>
      <x:c r="K646" s="13"/>
      <x:c r="L646" s="13"/>
      <x:c r="M646" s="13"/>
      <x:c r="N646" s="13"/>
      <x:c r="O646" s="13"/>
      <x:c r="P646" s="13"/>
    </x:row>
    <x:row r="647">
      <x:c r="E647" s="13"/>
      <x:c r="F647" s="13"/>
      <x:c r="G647" s="13"/>
      <x:c r="H647" s="13"/>
      <x:c r="I647" s="13"/>
      <x:c r="J647" s="13"/>
      <x:c r="K647" s="13"/>
      <x:c r="L647" s="13"/>
      <x:c r="M647" s="13"/>
      <x:c r="N647" s="13"/>
      <x:c r="O647" s="13"/>
      <x:c r="P647" s="13"/>
    </x:row>
    <x:row r="648">
      <x:c r="E648" s="13"/>
      <x:c r="F648" s="13"/>
      <x:c r="G648" s="13"/>
      <x:c r="H648" s="13"/>
      <x:c r="I648" s="13"/>
      <x:c r="J648" s="13"/>
      <x:c r="K648" s="13"/>
      <x:c r="L648" s="13"/>
      <x:c r="M648" s="13"/>
      <x:c r="N648" s="13"/>
      <x:c r="O648" s="13"/>
      <x:c r="P648" s="13"/>
    </x:row>
    <x:row r="649">
      <x:c r="E649" s="13"/>
      <x:c r="F649" s="13"/>
      <x:c r="G649" s="13"/>
      <x:c r="H649" s="13"/>
      <x:c r="I649" s="13"/>
      <x:c r="J649" s="13"/>
      <x:c r="K649" s="13"/>
      <x:c r="L649" s="13"/>
      <x:c r="M649" s="13"/>
      <x:c r="N649" s="13"/>
      <x:c r="O649" s="13"/>
      <x:c r="P649" s="13"/>
    </x:row>
    <x:row r="650">
      <x:c r="E650" s="13"/>
      <x:c r="F650" s="13"/>
      <x:c r="G650" s="13"/>
      <x:c r="H650" s="13"/>
      <x:c r="I650" s="13"/>
      <x:c r="J650" s="13"/>
      <x:c r="K650" s="13"/>
      <x:c r="L650" s="13"/>
      <x:c r="M650" s="13"/>
      <x:c r="N650" s="13"/>
      <x:c r="O650" s="13"/>
      <x:c r="P650" s="13"/>
    </x:row>
    <x:row r="651">
      <x:c r="E651" s="13"/>
      <x:c r="F651" s="13"/>
      <x:c r="G651" s="13"/>
      <x:c r="H651" s="13"/>
      <x:c r="I651" s="13"/>
      <x:c r="J651" s="13"/>
      <x:c r="K651" s="13"/>
      <x:c r="L651" s="13"/>
      <x:c r="M651" s="13"/>
      <x:c r="N651" s="13"/>
      <x:c r="O651" s="13"/>
      <x:c r="P651" s="13"/>
    </x:row>
    <x:row r="652">
      <x:c r="E652" s="13"/>
      <x:c r="F652" s="13"/>
      <x:c r="G652" s="13"/>
      <x:c r="H652" s="13"/>
      <x:c r="I652" s="13"/>
      <x:c r="J652" s="13"/>
      <x:c r="K652" s="13"/>
      <x:c r="L652" s="13"/>
      <x:c r="M652" s="13"/>
      <x:c r="N652" s="13"/>
      <x:c r="O652" s="13"/>
      <x:c r="P652" s="13"/>
    </x:row>
    <x:row r="653">
      <x:c r="E653" s="13"/>
      <x:c r="F653" s="13"/>
      <x:c r="G653" s="13"/>
      <x:c r="H653" s="13"/>
      <x:c r="I653" s="13"/>
      <x:c r="J653" s="13"/>
      <x:c r="K653" s="13"/>
      <x:c r="L653" s="13"/>
      <x:c r="M653" s="13"/>
      <x:c r="N653" s="13"/>
      <x:c r="O653" s="13"/>
      <x:c r="P653" s="13"/>
    </x:row>
    <x:row r="654">
      <x:c r="E654" s="13"/>
      <x:c r="F654" s="13"/>
      <x:c r="G654" s="13"/>
      <x:c r="H654" s="13"/>
      <x:c r="I654" s="13"/>
      <x:c r="J654" s="13"/>
      <x:c r="K654" s="13"/>
      <x:c r="L654" s="13"/>
      <x:c r="M654" s="13"/>
      <x:c r="N654" s="13"/>
      <x:c r="O654" s="13"/>
      <x:c r="P654" s="13"/>
    </x:row>
    <x:row r="655">
      <x:c r="E655" s="13"/>
      <x:c r="F655" s="13"/>
      <x:c r="G655" s="13"/>
      <x:c r="H655" s="13"/>
      <x:c r="I655" s="13"/>
      <x:c r="J655" s="13"/>
      <x:c r="K655" s="13"/>
      <x:c r="L655" s="13"/>
      <x:c r="M655" s="13"/>
      <x:c r="N655" s="13"/>
      <x:c r="O655" s="13"/>
      <x:c r="P655" s="13"/>
    </x:row>
    <x:row r="656">
      <x:c r="E656" s="13"/>
      <x:c r="F656" s="13"/>
      <x:c r="G656" s="13"/>
      <x:c r="H656" s="13"/>
      <x:c r="I656" s="13"/>
      <x:c r="J656" s="13"/>
      <x:c r="K656" s="13"/>
      <x:c r="L656" s="13"/>
      <x:c r="M656" s="13"/>
      <x:c r="N656" s="13"/>
      <x:c r="O656" s="13"/>
      <x:c r="P656" s="13"/>
    </x:row>
    <x:row r="657">
      <x:c r="E657" s="13"/>
      <x:c r="F657" s="13"/>
      <x:c r="G657" s="13"/>
      <x:c r="H657" s="13"/>
      <x:c r="I657" s="13"/>
      <x:c r="J657" s="13"/>
      <x:c r="K657" s="13"/>
      <x:c r="L657" s="13"/>
      <x:c r="M657" s="13"/>
      <x:c r="N657" s="13"/>
      <x:c r="O657" s="13"/>
      <x:c r="P657" s="13"/>
    </x:row>
    <x:row r="658">
      <x:c r="E658" s="13"/>
      <x:c r="F658" s="13"/>
      <x:c r="G658" s="13"/>
      <x:c r="H658" s="13"/>
      <x:c r="I658" s="13"/>
      <x:c r="J658" s="13"/>
      <x:c r="K658" s="13"/>
      <x:c r="L658" s="13"/>
      <x:c r="M658" s="13"/>
      <x:c r="N658" s="13"/>
      <x:c r="O658" s="13"/>
      <x:c r="P658" s="13"/>
    </x:row>
    <x:row r="659">
      <x:c r="E659" s="13"/>
      <x:c r="F659" s="13"/>
      <x:c r="G659" s="13"/>
      <x:c r="H659" s="13"/>
      <x:c r="I659" s="13"/>
      <x:c r="J659" s="13"/>
      <x:c r="K659" s="13"/>
      <x:c r="L659" s="13"/>
      <x:c r="M659" s="13"/>
      <x:c r="N659" s="13"/>
      <x:c r="O659" s="13"/>
      <x:c r="P659" s="13"/>
    </x:row>
    <x:row r="660">
      <x:c r="E660" s="13"/>
      <x:c r="F660" s="13"/>
      <x:c r="G660" s="13"/>
      <x:c r="H660" s="13"/>
      <x:c r="I660" s="13"/>
      <x:c r="J660" s="13"/>
      <x:c r="K660" s="13"/>
      <x:c r="L660" s="13"/>
      <x:c r="M660" s="13"/>
      <x:c r="N660" s="13"/>
      <x:c r="O660" s="13"/>
      <x:c r="P660" s="13"/>
    </x:row>
    <x:row r="661">
      <x:c r="E661" s="13"/>
      <x:c r="F661" s="13"/>
      <x:c r="G661" s="13"/>
      <x:c r="H661" s="13"/>
      <x:c r="I661" s="13"/>
      <x:c r="J661" s="13"/>
      <x:c r="K661" s="13"/>
      <x:c r="L661" s="13"/>
      <x:c r="M661" s="13"/>
      <x:c r="N661" s="13"/>
      <x:c r="O661" s="13"/>
      <x:c r="P661" s="13"/>
    </x:row>
    <x:row r="662">
      <x:c r="E662" s="13"/>
      <x:c r="F662" s="13"/>
      <x:c r="G662" s="13"/>
      <x:c r="H662" s="13"/>
      <x:c r="I662" s="13"/>
      <x:c r="J662" s="13"/>
      <x:c r="K662" s="13"/>
      <x:c r="L662" s="13"/>
      <x:c r="M662" s="13"/>
      <x:c r="N662" s="13"/>
      <x:c r="O662" s="13"/>
      <x:c r="P662" s="13"/>
    </x:row>
    <x:row r="663">
      <x:c r="E663" s="13"/>
      <x:c r="F663" s="13"/>
      <x:c r="G663" s="13"/>
      <x:c r="H663" s="13"/>
      <x:c r="I663" s="13"/>
      <x:c r="J663" s="13"/>
      <x:c r="K663" s="13"/>
      <x:c r="L663" s="13"/>
      <x:c r="M663" s="13"/>
      <x:c r="N663" s="13"/>
      <x:c r="O663" s="13"/>
      <x:c r="P663" s="13"/>
    </x:row>
    <x:row r="664">
      <x:c r="E664" s="13"/>
      <x:c r="F664" s="13"/>
      <x:c r="G664" s="13"/>
      <x:c r="H664" s="13"/>
      <x:c r="I664" s="13"/>
      <x:c r="J664" s="13"/>
      <x:c r="K664" s="13"/>
      <x:c r="L664" s="13"/>
      <x:c r="M664" s="13"/>
      <x:c r="N664" s="13"/>
      <x:c r="O664" s="13"/>
      <x:c r="P664" s="13"/>
    </x:row>
    <x:row r="665">
      <x:c r="E665" s="13"/>
      <x:c r="F665" s="13"/>
      <x:c r="G665" s="13"/>
      <x:c r="H665" s="13"/>
      <x:c r="I665" s="13"/>
      <x:c r="J665" s="13"/>
      <x:c r="K665" s="13"/>
      <x:c r="L665" s="13"/>
      <x:c r="M665" s="13"/>
      <x:c r="N665" s="13"/>
      <x:c r="O665" s="13"/>
      <x:c r="P665" s="13"/>
    </x:row>
    <x:row r="666">
      <x:c r="E666" s="13"/>
      <x:c r="F666" s="13"/>
      <x:c r="G666" s="13"/>
      <x:c r="H666" s="13"/>
      <x:c r="I666" s="13"/>
      <x:c r="J666" s="13"/>
      <x:c r="K666" s="13"/>
      <x:c r="L666" s="13"/>
      <x:c r="M666" s="13"/>
      <x:c r="N666" s="13"/>
      <x:c r="O666" s="13"/>
      <x:c r="P666" s="13"/>
    </x:row>
    <x:row r="667">
      <x:c r="E667" s="13"/>
      <x:c r="F667" s="13"/>
      <x:c r="G667" s="13"/>
      <x:c r="H667" s="13"/>
      <x:c r="I667" s="13"/>
      <x:c r="J667" s="13"/>
      <x:c r="K667" s="13"/>
      <x:c r="L667" s="13"/>
      <x:c r="M667" s="13"/>
      <x:c r="N667" s="13"/>
      <x:c r="O667" s="13"/>
      <x:c r="P667" s="13"/>
    </x:row>
    <x:row r="668">
      <x:c r="E668" s="13"/>
      <x:c r="F668" s="13"/>
      <x:c r="G668" s="13"/>
      <x:c r="H668" s="13"/>
      <x:c r="I668" s="13"/>
      <x:c r="J668" s="13"/>
      <x:c r="K668" s="13"/>
      <x:c r="L668" s="13"/>
      <x:c r="M668" s="13"/>
      <x:c r="N668" s="13"/>
      <x:c r="O668" s="13"/>
      <x:c r="P668" s="13"/>
    </x:row>
    <x:row r="669">
      <x:c r="E669" s="13"/>
      <x:c r="F669" s="13"/>
      <x:c r="G669" s="13"/>
      <x:c r="H669" s="13"/>
      <x:c r="I669" s="13"/>
      <x:c r="J669" s="13"/>
      <x:c r="K669" s="13"/>
      <x:c r="L669" s="13"/>
      <x:c r="M669" s="13"/>
      <x:c r="N669" s="13"/>
      <x:c r="O669" s="13"/>
      <x:c r="P669" s="13"/>
    </x:row>
    <x:row r="670">
      <x:c r="E670" s="13"/>
      <x:c r="F670" s="13"/>
      <x:c r="G670" s="13"/>
      <x:c r="H670" s="13"/>
      <x:c r="I670" s="13"/>
      <x:c r="J670" s="13"/>
      <x:c r="K670" s="13"/>
      <x:c r="L670" s="13"/>
      <x:c r="M670" s="13"/>
      <x:c r="N670" s="13"/>
      <x:c r="O670" s="13"/>
      <x:c r="P670" s="13"/>
    </x:row>
    <x:row r="671">
      <x:c r="E671" s="13"/>
      <x:c r="F671" s="13"/>
      <x:c r="G671" s="13"/>
      <x:c r="H671" s="13"/>
      <x:c r="I671" s="13"/>
      <x:c r="J671" s="13"/>
      <x:c r="K671" s="13"/>
      <x:c r="L671" s="13"/>
      <x:c r="M671" s="13"/>
      <x:c r="N671" s="13"/>
      <x:c r="O671" s="13"/>
      <x:c r="P671" s="13"/>
    </x:row>
    <x:row r="672">
      <x:c r="E672" s="13"/>
      <x:c r="F672" s="13"/>
      <x:c r="G672" s="13"/>
      <x:c r="H672" s="13"/>
      <x:c r="I672" s="13"/>
      <x:c r="J672" s="13"/>
      <x:c r="K672" s="13"/>
      <x:c r="L672" s="13"/>
      <x:c r="M672" s="13"/>
      <x:c r="N672" s="13"/>
      <x:c r="O672" s="13"/>
      <x:c r="P672" s="13"/>
    </x:row>
    <x:row r="673">
      <x:c r="E673" s="13"/>
      <x:c r="F673" s="13"/>
      <x:c r="G673" s="13"/>
      <x:c r="H673" s="13"/>
      <x:c r="I673" s="13"/>
      <x:c r="J673" s="13"/>
      <x:c r="K673" s="13"/>
      <x:c r="L673" s="13"/>
      <x:c r="M673" s="13"/>
      <x:c r="N673" s="13"/>
      <x:c r="O673" s="13"/>
      <x:c r="P673" s="13"/>
    </x:row>
    <x:row r="674">
      <x:c r="E674" s="13"/>
      <x:c r="F674" s="13"/>
      <x:c r="G674" s="13"/>
      <x:c r="H674" s="13"/>
      <x:c r="I674" s="13"/>
      <x:c r="J674" s="13"/>
      <x:c r="K674" s="13"/>
      <x:c r="L674" s="13"/>
      <x:c r="M674" s="13"/>
      <x:c r="N674" s="13"/>
      <x:c r="O674" s="13"/>
      <x:c r="P674" s="13"/>
    </x:row>
    <x:row r="675">
      <x:c r="E675" s="13"/>
      <x:c r="F675" s="13"/>
      <x:c r="G675" s="13"/>
      <x:c r="H675" s="13"/>
      <x:c r="I675" s="13"/>
      <x:c r="J675" s="13"/>
      <x:c r="K675" s="13"/>
      <x:c r="L675" s="13"/>
      <x:c r="M675" s="13"/>
      <x:c r="N675" s="13"/>
      <x:c r="O675" s="13"/>
      <x:c r="P675" s="13"/>
    </x:row>
    <x:row r="676">
      <x:c r="E676" s="13"/>
      <x:c r="F676" s="13"/>
      <x:c r="G676" s="13"/>
      <x:c r="H676" s="13"/>
      <x:c r="I676" s="13"/>
      <x:c r="J676" s="13"/>
      <x:c r="K676" s="13"/>
      <x:c r="L676" s="13"/>
      <x:c r="M676" s="13"/>
      <x:c r="N676" s="13"/>
      <x:c r="O676" s="13"/>
      <x:c r="P676" s="13"/>
    </x:row>
    <x:row r="677">
      <x:c r="E677" s="13"/>
      <x:c r="F677" s="13"/>
      <x:c r="G677" s="13"/>
      <x:c r="H677" s="13"/>
      <x:c r="I677" s="13"/>
      <x:c r="J677" s="13"/>
      <x:c r="K677" s="13"/>
      <x:c r="L677" s="13"/>
      <x:c r="M677" s="13"/>
      <x:c r="N677" s="13"/>
      <x:c r="O677" s="13"/>
      <x:c r="P677" s="13"/>
    </x:row>
    <x:row r="678">
      <x:c r="E678" s="13"/>
      <x:c r="F678" s="13"/>
      <x:c r="G678" s="13"/>
      <x:c r="H678" s="13"/>
      <x:c r="I678" s="13"/>
      <x:c r="J678" s="13"/>
      <x:c r="K678" s="13"/>
      <x:c r="L678" s="13"/>
      <x:c r="M678" s="13"/>
      <x:c r="N678" s="13"/>
      <x:c r="O678" s="13"/>
      <x:c r="P678" s="13"/>
    </x:row>
    <x:row r="679">
      <x:c r="E679" s="13"/>
      <x:c r="F679" s="13"/>
      <x:c r="G679" s="13"/>
      <x:c r="H679" s="13"/>
      <x:c r="I679" s="13"/>
      <x:c r="J679" s="13"/>
      <x:c r="K679" s="13"/>
      <x:c r="L679" s="13"/>
      <x:c r="M679" s="13"/>
      <x:c r="N679" s="13"/>
      <x:c r="O679" s="13"/>
      <x:c r="P679" s="13"/>
    </x:row>
    <x:row r="680">
      <x:c r="E680" s="13"/>
      <x:c r="F680" s="13"/>
      <x:c r="G680" s="13"/>
      <x:c r="H680" s="13"/>
      <x:c r="I680" s="13"/>
      <x:c r="J680" s="13"/>
      <x:c r="K680" s="13"/>
      <x:c r="L680" s="13"/>
      <x:c r="M680" s="13"/>
      <x:c r="N680" s="13"/>
      <x:c r="O680" s="13"/>
      <x:c r="P680" s="13"/>
    </x:row>
    <x:row r="681">
      <x:c r="E681" s="13"/>
      <x:c r="F681" s="13"/>
      <x:c r="G681" s="13"/>
      <x:c r="H681" s="13"/>
      <x:c r="I681" s="13"/>
      <x:c r="J681" s="13"/>
      <x:c r="K681" s="13"/>
      <x:c r="L681" s="13"/>
      <x:c r="M681" s="13"/>
      <x:c r="N681" s="13"/>
      <x:c r="O681" s="13"/>
      <x:c r="P681" s="13"/>
    </x:row>
    <x:row r="682">
      <x:c r="E682" s="13"/>
      <x:c r="F682" s="13"/>
      <x:c r="G682" s="13"/>
      <x:c r="H682" s="13"/>
      <x:c r="I682" s="13"/>
      <x:c r="J682" s="13"/>
      <x:c r="K682" s="13"/>
      <x:c r="L682" s="13"/>
      <x:c r="M682" s="13"/>
      <x:c r="N682" s="13"/>
      <x:c r="O682" s="13"/>
      <x:c r="P682" s="13"/>
    </x:row>
    <x:row r="683">
      <x:c r="E683" s="13"/>
      <x:c r="F683" s="13"/>
      <x:c r="G683" s="13"/>
      <x:c r="H683" s="13"/>
      <x:c r="I683" s="13"/>
      <x:c r="J683" s="13"/>
      <x:c r="K683" s="13"/>
      <x:c r="L683" s="13"/>
      <x:c r="M683" s="13"/>
      <x:c r="N683" s="13"/>
      <x:c r="O683" s="13"/>
      <x:c r="P683" s="13"/>
    </x:row>
    <x:row r="684">
      <x:c r="E684" s="13"/>
      <x:c r="F684" s="13"/>
      <x:c r="G684" s="13"/>
      <x:c r="H684" s="13"/>
      <x:c r="I684" s="13"/>
      <x:c r="J684" s="13"/>
      <x:c r="K684" s="13"/>
      <x:c r="L684" s="13"/>
      <x:c r="M684" s="13"/>
      <x:c r="N684" s="13"/>
      <x:c r="O684" s="13"/>
      <x:c r="P684" s="13"/>
    </x:row>
    <x:row r="685">
      <x:c r="E685" s="13"/>
      <x:c r="F685" s="13"/>
      <x:c r="G685" s="13"/>
      <x:c r="H685" s="13"/>
      <x:c r="I685" s="13"/>
      <x:c r="J685" s="13"/>
      <x:c r="K685" s="13"/>
      <x:c r="L685" s="13"/>
      <x:c r="M685" s="13"/>
      <x:c r="N685" s="13"/>
      <x:c r="O685" s="13"/>
      <x:c r="P685" s="13"/>
    </x:row>
    <x:row r="686">
      <x:c r="E686" s="13"/>
      <x:c r="F686" s="13"/>
      <x:c r="G686" s="13"/>
      <x:c r="H686" s="13"/>
      <x:c r="I686" s="13"/>
      <x:c r="J686" s="13"/>
      <x:c r="K686" s="13"/>
      <x:c r="L686" s="13"/>
      <x:c r="M686" s="13"/>
      <x:c r="N686" s="13"/>
      <x:c r="O686" s="13"/>
      <x:c r="P686" s="13"/>
    </x:row>
    <x:row r="687">
      <x:c r="E687" s="13"/>
      <x:c r="F687" s="13"/>
      <x:c r="G687" s="13"/>
      <x:c r="H687" s="13"/>
      <x:c r="I687" s="13"/>
      <x:c r="J687" s="13"/>
      <x:c r="K687" s="13"/>
      <x:c r="L687" s="13"/>
      <x:c r="M687" s="13"/>
      <x:c r="N687" s="13"/>
      <x:c r="O687" s="13"/>
      <x:c r="P687" s="13"/>
    </x:row>
    <x:row r="688">
      <x:c r="E688" s="13"/>
      <x:c r="F688" s="13"/>
      <x:c r="G688" s="13"/>
      <x:c r="H688" s="13"/>
      <x:c r="I688" s="13"/>
      <x:c r="J688" s="13"/>
      <x:c r="K688" s="13"/>
      <x:c r="L688" s="13"/>
      <x:c r="M688" s="13"/>
      <x:c r="N688" s="13"/>
      <x:c r="O688" s="13"/>
      <x:c r="P688" s="13"/>
    </x:row>
    <x:row r="689">
      <x:c r="E689" s="13"/>
      <x:c r="F689" s="13"/>
      <x:c r="G689" s="13"/>
      <x:c r="H689" s="13"/>
      <x:c r="I689" s="13"/>
      <x:c r="J689" s="13"/>
      <x:c r="K689" s="13"/>
      <x:c r="L689" s="13"/>
      <x:c r="M689" s="13"/>
      <x:c r="N689" s="13"/>
      <x:c r="O689" s="13"/>
      <x:c r="P689" s="13"/>
    </x:row>
    <x:row r="690">
      <x:c r="E690" s="13"/>
      <x:c r="F690" s="13"/>
      <x:c r="G690" s="13"/>
      <x:c r="H690" s="13"/>
      <x:c r="I690" s="13"/>
      <x:c r="J690" s="13"/>
      <x:c r="K690" s="13"/>
      <x:c r="L690" s="13"/>
      <x:c r="M690" s="13"/>
      <x:c r="N690" s="13"/>
      <x:c r="O690" s="13"/>
      <x:c r="P690" s="13"/>
    </x:row>
    <x:row r="691">
      <x:c r="E691" s="13"/>
      <x:c r="F691" s="13"/>
      <x:c r="G691" s="13"/>
      <x:c r="H691" s="13"/>
      <x:c r="I691" s="13"/>
      <x:c r="J691" s="13"/>
      <x:c r="K691" s="13"/>
      <x:c r="L691" s="13"/>
      <x:c r="M691" s="13"/>
      <x:c r="N691" s="13"/>
      <x:c r="O691" s="13"/>
      <x:c r="P691" s="13"/>
    </x:row>
    <x:row r="692">
      <x:c r="E692" s="13"/>
      <x:c r="F692" s="13"/>
      <x:c r="G692" s="13"/>
      <x:c r="H692" s="13"/>
      <x:c r="I692" s="13"/>
      <x:c r="J692" s="13"/>
      <x:c r="K692" s="13"/>
      <x:c r="L692" s="13"/>
      <x:c r="M692" s="13"/>
      <x:c r="N692" s="13"/>
      <x:c r="O692" s="13"/>
      <x:c r="P692" s="13"/>
    </x:row>
    <x:row r="693">
      <x:c r="E693" s="13"/>
      <x:c r="F693" s="13"/>
      <x:c r="G693" s="13"/>
      <x:c r="H693" s="13"/>
      <x:c r="I693" s="13"/>
      <x:c r="J693" s="13"/>
      <x:c r="K693" s="13"/>
      <x:c r="L693" s="13"/>
      <x:c r="M693" s="13"/>
      <x:c r="N693" s="13"/>
      <x:c r="O693" s="13"/>
      <x:c r="P693" s="13"/>
    </x:row>
    <x:row r="694">
      <x:c r="E694" s="13"/>
      <x:c r="F694" s="13"/>
      <x:c r="G694" s="13"/>
      <x:c r="H694" s="13"/>
      <x:c r="I694" s="13"/>
      <x:c r="J694" s="13"/>
      <x:c r="K694" s="13"/>
      <x:c r="L694" s="13"/>
      <x:c r="M694" s="13"/>
      <x:c r="N694" s="13"/>
      <x:c r="O694" s="13"/>
      <x:c r="P694" s="13"/>
    </x:row>
    <x:row r="695">
      <x:c r="E695" s="13"/>
      <x:c r="F695" s="13"/>
      <x:c r="G695" s="13"/>
      <x:c r="H695" s="13"/>
      <x:c r="I695" s="13"/>
      <x:c r="J695" s="13"/>
      <x:c r="K695" s="13"/>
      <x:c r="L695" s="13"/>
      <x:c r="M695" s="13"/>
      <x:c r="N695" s="13"/>
      <x:c r="O695" s="13"/>
      <x:c r="P695" s="13"/>
    </x:row>
    <x:row r="696">
      <x:c r="E696" s="13"/>
      <x:c r="F696" s="13"/>
      <x:c r="G696" s="13"/>
      <x:c r="H696" s="13"/>
      <x:c r="I696" s="13"/>
      <x:c r="J696" s="13"/>
      <x:c r="K696" s="13"/>
      <x:c r="L696" s="13"/>
      <x:c r="M696" s="13"/>
      <x:c r="N696" s="13"/>
      <x:c r="O696" s="13"/>
      <x:c r="P696" s="13"/>
    </x:row>
    <x:row r="697">
      <x:c r="E697" s="13"/>
      <x:c r="F697" s="13"/>
      <x:c r="G697" s="13"/>
      <x:c r="H697" s="13"/>
      <x:c r="I697" s="13"/>
      <x:c r="J697" s="13"/>
      <x:c r="K697" s="13"/>
      <x:c r="L697" s="13"/>
      <x:c r="M697" s="13"/>
      <x:c r="N697" s="13"/>
      <x:c r="O697" s="13"/>
      <x:c r="P697" s="13"/>
    </x:row>
    <x:row r="698">
      <x:c r="E698" s="13"/>
      <x:c r="F698" s="13"/>
      <x:c r="G698" s="13"/>
      <x:c r="H698" s="13"/>
      <x:c r="I698" s="13"/>
      <x:c r="J698" s="13"/>
      <x:c r="K698" s="13"/>
      <x:c r="L698" s="13"/>
      <x:c r="M698" s="13"/>
      <x:c r="N698" s="13"/>
      <x:c r="O698" s="13"/>
      <x:c r="P698" s="13"/>
    </x:row>
    <x:row r="699">
      <x:c r="E699" s="13"/>
      <x:c r="F699" s="13"/>
      <x:c r="G699" s="13"/>
      <x:c r="H699" s="13"/>
      <x:c r="I699" s="13"/>
      <x:c r="J699" s="13"/>
      <x:c r="K699" s="13"/>
      <x:c r="L699" s="13"/>
      <x:c r="M699" s="13"/>
      <x:c r="N699" s="13"/>
      <x:c r="O699" s="13"/>
      <x:c r="P699" s="13"/>
    </x:row>
    <x:row r="700">
      <x:c r="E700" s="13"/>
      <x:c r="F700" s="13"/>
      <x:c r="G700" s="13"/>
      <x:c r="H700" s="13"/>
      <x:c r="I700" s="13"/>
      <x:c r="J700" s="13"/>
      <x:c r="K700" s="13"/>
      <x:c r="L700" s="13"/>
      <x:c r="M700" s="13"/>
      <x:c r="N700" s="13"/>
      <x:c r="O700" s="13"/>
      <x:c r="P700" s="13"/>
    </x:row>
    <x:row r="701">
      <x:c r="E701" s="13"/>
      <x:c r="F701" s="13"/>
      <x:c r="G701" s="13"/>
      <x:c r="H701" s="13"/>
      <x:c r="I701" s="13"/>
      <x:c r="J701" s="13"/>
      <x:c r="K701" s="13"/>
      <x:c r="L701" s="13"/>
      <x:c r="M701" s="13"/>
      <x:c r="N701" s="13"/>
      <x:c r="O701" s="13"/>
      <x:c r="P701" s="13"/>
    </x:row>
    <x:row r="702">
      <x:c r="E702" s="13"/>
      <x:c r="F702" s="13"/>
      <x:c r="G702" s="13"/>
      <x:c r="H702" s="13"/>
      <x:c r="I702" s="13"/>
      <x:c r="J702" s="13"/>
      <x:c r="K702" s="13"/>
      <x:c r="L702" s="13"/>
      <x:c r="M702" s="13"/>
      <x:c r="N702" s="13"/>
      <x:c r="O702" s="13"/>
      <x:c r="P702" s="13"/>
    </x:row>
    <x:row r="703">
      <x:c r="E703" s="13"/>
      <x:c r="F703" s="13"/>
      <x:c r="G703" s="13"/>
      <x:c r="H703" s="13"/>
      <x:c r="I703" s="13"/>
      <x:c r="J703" s="13"/>
      <x:c r="K703" s="13"/>
      <x:c r="L703" s="13"/>
      <x:c r="M703" s="13"/>
      <x:c r="N703" s="13"/>
      <x:c r="O703" s="13"/>
      <x:c r="P703" s="13"/>
    </x:row>
    <x:row r="704">
      <x:c r="E704" s="13"/>
      <x:c r="F704" s="13"/>
      <x:c r="G704" s="13"/>
      <x:c r="H704" s="13"/>
      <x:c r="I704" s="13"/>
      <x:c r="J704" s="13"/>
      <x:c r="K704" s="13"/>
      <x:c r="L704" s="13"/>
      <x:c r="M704" s="13"/>
      <x:c r="N704" s="13"/>
      <x:c r="O704" s="13"/>
      <x:c r="P704" s="13"/>
    </x:row>
    <x:row r="705">
      <x:c r="E705" s="13"/>
      <x:c r="F705" s="13"/>
      <x:c r="G705" s="13"/>
      <x:c r="H705" s="13"/>
      <x:c r="I705" s="13"/>
      <x:c r="J705" s="13"/>
      <x:c r="K705" s="13"/>
      <x:c r="L705" s="13"/>
      <x:c r="M705" s="13"/>
      <x:c r="N705" s="13"/>
      <x:c r="O705" s="13"/>
      <x:c r="P705" s="13"/>
    </x:row>
    <x:row r="706">
      <x:c r="E706" s="13"/>
      <x:c r="F706" s="13"/>
      <x:c r="G706" s="13"/>
      <x:c r="H706" s="13"/>
      <x:c r="I706" s="13"/>
      <x:c r="J706" s="13"/>
      <x:c r="K706" s="13"/>
      <x:c r="L706" s="13"/>
      <x:c r="M706" s="13"/>
      <x:c r="N706" s="13"/>
      <x:c r="O706" s="13"/>
      <x:c r="P706" s="13"/>
    </x:row>
    <x:row r="707">
      <x:c r="E707" s="13"/>
      <x:c r="F707" s="13"/>
      <x:c r="G707" s="13"/>
      <x:c r="H707" s="13"/>
      <x:c r="I707" s="13"/>
      <x:c r="J707" s="13"/>
      <x:c r="K707" s="13"/>
      <x:c r="L707" s="13"/>
      <x:c r="M707" s="13"/>
      <x:c r="N707" s="13"/>
      <x:c r="O707" s="13"/>
      <x:c r="P707" s="13"/>
    </x:row>
    <x:row r="708">
      <x:c r="E708" s="13"/>
      <x:c r="F708" s="13"/>
      <x:c r="G708" s="13"/>
      <x:c r="H708" s="13"/>
      <x:c r="I708" s="13"/>
      <x:c r="J708" s="13"/>
      <x:c r="K708" s="13"/>
      <x:c r="L708" s="13"/>
      <x:c r="M708" s="13"/>
      <x:c r="N708" s="13"/>
      <x:c r="O708" s="13"/>
      <x:c r="P708" s="13"/>
    </x:row>
    <x:row r="709">
      <x:c r="E709" s="13"/>
      <x:c r="F709" s="13"/>
      <x:c r="G709" s="13"/>
      <x:c r="H709" s="13"/>
      <x:c r="I709" s="13"/>
      <x:c r="J709" s="13"/>
      <x:c r="K709" s="13"/>
      <x:c r="L709" s="13"/>
      <x:c r="M709" s="13"/>
      <x:c r="N709" s="13"/>
      <x:c r="O709" s="13"/>
      <x:c r="P709" s="13"/>
    </x:row>
    <x:row r="710">
      <x:c r="E710" s="13"/>
      <x:c r="F710" s="13"/>
      <x:c r="G710" s="13"/>
      <x:c r="H710" s="13"/>
      <x:c r="I710" s="13"/>
      <x:c r="J710" s="13"/>
      <x:c r="K710" s="13"/>
      <x:c r="L710" s="13"/>
      <x:c r="M710" s="13"/>
      <x:c r="N710" s="13"/>
      <x:c r="O710" s="13"/>
      <x:c r="P710" s="13"/>
    </x:row>
    <x:row r="711">
      <x:c r="E711" s="13"/>
      <x:c r="F711" s="13"/>
      <x:c r="G711" s="13"/>
      <x:c r="H711" s="13"/>
      <x:c r="I711" s="13"/>
      <x:c r="J711" s="13"/>
      <x:c r="K711" s="13"/>
      <x:c r="L711" s="13"/>
      <x:c r="M711" s="13"/>
      <x:c r="N711" s="13"/>
      <x:c r="O711" s="13"/>
      <x:c r="P711" s="13"/>
    </x:row>
    <x:row r="712">
      <x:c r="E712" s="13"/>
      <x:c r="F712" s="13"/>
      <x:c r="G712" s="13"/>
      <x:c r="H712" s="13"/>
      <x:c r="I712" s="13"/>
      <x:c r="J712" s="13"/>
      <x:c r="K712" s="13"/>
      <x:c r="L712" s="13"/>
      <x:c r="M712" s="13"/>
      <x:c r="N712" s="13"/>
      <x:c r="O712" s="13"/>
      <x:c r="P712" s="13"/>
    </x:row>
    <x:row r="713">
      <x:c r="E713" s="13"/>
      <x:c r="F713" s="13"/>
      <x:c r="G713" s="13"/>
      <x:c r="H713" s="13"/>
      <x:c r="I713" s="13"/>
      <x:c r="J713" s="13"/>
      <x:c r="K713" s="13"/>
      <x:c r="L713" s="13"/>
      <x:c r="M713" s="13"/>
      <x:c r="N713" s="13"/>
      <x:c r="O713" s="13"/>
      <x:c r="P713" s="13"/>
    </x:row>
    <x:row r="714">
      <x:c r="E714" s="13"/>
      <x:c r="F714" s="13"/>
      <x:c r="G714" s="13"/>
      <x:c r="H714" s="13"/>
      <x:c r="I714" s="13"/>
      <x:c r="J714" s="13"/>
      <x:c r="K714" s="13"/>
      <x:c r="L714" s="13"/>
      <x:c r="M714" s="13"/>
      <x:c r="N714" s="13"/>
      <x:c r="O714" s="13"/>
      <x:c r="P714" s="13"/>
    </x:row>
    <x:row r="715">
      <x:c r="E715" s="13"/>
      <x:c r="F715" s="13"/>
      <x:c r="G715" s="13"/>
      <x:c r="H715" s="13"/>
      <x:c r="I715" s="13"/>
      <x:c r="J715" s="13"/>
      <x:c r="K715" s="13"/>
      <x:c r="L715" s="13"/>
      <x:c r="M715" s="13"/>
      <x:c r="N715" s="13"/>
      <x:c r="O715" s="13"/>
      <x:c r="P715" s="13"/>
    </x:row>
    <x:row r="716">
      <x:c r="E716" s="13"/>
      <x:c r="F716" s="13"/>
      <x:c r="G716" s="13"/>
      <x:c r="H716" s="13"/>
      <x:c r="I716" s="13"/>
      <x:c r="J716" s="13"/>
      <x:c r="K716" s="13"/>
      <x:c r="L716" s="13"/>
      <x:c r="M716" s="13"/>
      <x:c r="N716" s="13"/>
      <x:c r="O716" s="13"/>
      <x:c r="P716" s="13"/>
    </x:row>
    <x:row r="717">
      <x:c r="E717" s="13"/>
      <x:c r="F717" s="13"/>
      <x:c r="G717" s="13"/>
      <x:c r="H717" s="13"/>
      <x:c r="I717" s="13"/>
      <x:c r="J717" s="13"/>
      <x:c r="K717" s="13"/>
      <x:c r="L717" s="13"/>
      <x:c r="M717" s="13"/>
      <x:c r="N717" s="13"/>
      <x:c r="O717" s="13"/>
      <x:c r="P717" s="13"/>
    </x:row>
    <x:row r="718">
      <x:c r="E718" s="13"/>
      <x:c r="F718" s="13"/>
      <x:c r="G718" s="13"/>
      <x:c r="H718" s="13"/>
      <x:c r="I718" s="13"/>
      <x:c r="J718" s="13"/>
      <x:c r="K718" s="13"/>
      <x:c r="L718" s="13"/>
      <x:c r="M718" s="13"/>
      <x:c r="N718" s="13"/>
      <x:c r="O718" s="13"/>
      <x:c r="P718" s="13"/>
    </x:row>
    <x:row r="719">
      <x:c r="E719" s="13"/>
      <x:c r="F719" s="13"/>
      <x:c r="G719" s="13"/>
      <x:c r="H719" s="13"/>
      <x:c r="I719" s="13"/>
      <x:c r="J719" s="13"/>
      <x:c r="K719" s="13"/>
      <x:c r="L719" s="13"/>
      <x:c r="M719" s="13"/>
      <x:c r="N719" s="13"/>
      <x:c r="O719" s="13"/>
      <x:c r="P719" s="13"/>
    </x:row>
    <x:row r="720">
      <x:c r="E720" s="13"/>
      <x:c r="F720" s="13"/>
      <x:c r="G720" s="13"/>
      <x:c r="H720" s="13"/>
      <x:c r="I720" s="13"/>
      <x:c r="J720" s="13"/>
      <x:c r="K720" s="13"/>
      <x:c r="L720" s="13"/>
      <x:c r="M720" s="13"/>
      <x:c r="N720" s="13"/>
      <x:c r="O720" s="13"/>
      <x:c r="P720" s="13"/>
    </x:row>
    <x:row r="721">
      <x:c r="E721" s="13"/>
      <x:c r="F721" s="13"/>
      <x:c r="G721" s="13"/>
      <x:c r="H721" s="13"/>
      <x:c r="I721" s="13"/>
      <x:c r="J721" s="13"/>
      <x:c r="K721" s="13"/>
      <x:c r="L721" s="13"/>
      <x:c r="M721" s="13"/>
      <x:c r="N721" s="13"/>
      <x:c r="O721" s="13"/>
      <x:c r="P721" s="13"/>
    </x:row>
    <x:row r="722">
      <x:c r="E722" s="13"/>
      <x:c r="F722" s="13"/>
      <x:c r="G722" s="13"/>
      <x:c r="H722" s="13"/>
      <x:c r="I722" s="13"/>
      <x:c r="J722" s="13"/>
      <x:c r="K722" s="13"/>
      <x:c r="L722" s="13"/>
      <x:c r="M722" s="13"/>
      <x:c r="N722" s="13"/>
      <x:c r="O722" s="13"/>
      <x:c r="P722" s="13"/>
    </x:row>
    <x:row r="723">
      <x:c r="E723" s="13"/>
      <x:c r="F723" s="13"/>
      <x:c r="G723" s="13"/>
      <x:c r="H723" s="13"/>
      <x:c r="I723" s="13"/>
      <x:c r="J723" s="13"/>
      <x:c r="K723" s="13"/>
      <x:c r="L723" s="13"/>
      <x:c r="M723" s="13"/>
      <x:c r="N723" s="13"/>
      <x:c r="O723" s="13"/>
      <x:c r="P723" s="13"/>
    </x:row>
    <x:row r="724">
      <x:c r="E724" s="13"/>
      <x:c r="F724" s="13"/>
      <x:c r="G724" s="13"/>
      <x:c r="H724" s="13"/>
      <x:c r="I724" s="13"/>
      <x:c r="J724" s="13"/>
      <x:c r="K724" s="13"/>
      <x:c r="L724" s="13"/>
      <x:c r="M724" s="13"/>
      <x:c r="N724" s="13"/>
      <x:c r="O724" s="13"/>
      <x:c r="P724" s="13"/>
    </x:row>
    <x:row r="725">
      <x:c r="E725" s="13"/>
      <x:c r="F725" s="13"/>
      <x:c r="G725" s="13"/>
      <x:c r="H725" s="13"/>
      <x:c r="I725" s="13"/>
      <x:c r="J725" s="13"/>
      <x:c r="K725" s="13"/>
      <x:c r="L725" s="13"/>
      <x:c r="M725" s="13"/>
      <x:c r="N725" s="13"/>
      <x:c r="O725" s="13"/>
      <x:c r="P725" s="13"/>
    </x:row>
    <x:row r="726">
      <x:c r="E726" s="13"/>
      <x:c r="F726" s="13"/>
      <x:c r="G726" s="13"/>
      <x:c r="H726" s="13"/>
      <x:c r="I726" s="13"/>
      <x:c r="J726" s="13"/>
      <x:c r="K726" s="13"/>
      <x:c r="L726" s="13"/>
      <x:c r="M726" s="13"/>
      <x:c r="N726" s="13"/>
      <x:c r="O726" s="13"/>
      <x:c r="P726" s="13"/>
    </x:row>
    <x:row r="727">
      <x:c r="E727" s="13"/>
      <x:c r="F727" s="13"/>
      <x:c r="G727" s="13"/>
      <x:c r="H727" s="13"/>
      <x:c r="I727" s="13"/>
      <x:c r="J727" s="13"/>
      <x:c r="K727" s="13"/>
      <x:c r="L727" s="13"/>
      <x:c r="M727" s="13"/>
      <x:c r="N727" s="13"/>
      <x:c r="O727" s="13"/>
      <x:c r="P727" s="13"/>
    </x:row>
    <x:row r="728">
      <x:c r="E728" s="13"/>
      <x:c r="F728" s="13"/>
      <x:c r="G728" s="13"/>
      <x:c r="H728" s="13"/>
      <x:c r="I728" s="13"/>
      <x:c r="J728" s="13"/>
      <x:c r="K728" s="13"/>
      <x:c r="L728" s="13"/>
      <x:c r="M728" s="13"/>
      <x:c r="N728" s="13"/>
      <x:c r="O728" s="13"/>
      <x:c r="P728" s="13"/>
    </x:row>
    <x:row r="729">
      <x:c r="E729" s="13"/>
      <x:c r="F729" s="13"/>
      <x:c r="G729" s="13"/>
      <x:c r="H729" s="13"/>
      <x:c r="I729" s="13"/>
      <x:c r="J729" s="13"/>
      <x:c r="K729" s="13"/>
      <x:c r="L729" s="13"/>
      <x:c r="M729" s="13"/>
      <x:c r="N729" s="13"/>
      <x:c r="O729" s="13"/>
      <x:c r="P729" s="13"/>
    </x:row>
    <x:row r="730">
      <x:c r="E730" s="13"/>
      <x:c r="F730" s="13"/>
      <x:c r="G730" s="13"/>
      <x:c r="H730" s="13"/>
      <x:c r="I730" s="13"/>
      <x:c r="J730" s="13"/>
      <x:c r="K730" s="13"/>
      <x:c r="L730" s="13"/>
      <x:c r="M730" s="13"/>
      <x:c r="N730" s="13"/>
      <x:c r="O730" s="13"/>
      <x:c r="P730" s="13"/>
    </x:row>
    <x:row r="731">
      <x:c r="E731" s="13"/>
      <x:c r="F731" s="13"/>
      <x:c r="G731" s="13"/>
      <x:c r="H731" s="13"/>
      <x:c r="I731" s="13"/>
      <x:c r="J731" s="13"/>
      <x:c r="K731" s="13"/>
      <x:c r="L731" s="13"/>
      <x:c r="M731" s="13"/>
      <x:c r="N731" s="13"/>
      <x:c r="O731" s="13"/>
      <x:c r="P731" s="13"/>
    </x:row>
    <x:row r="732">
      <x:c r="E732" s="13"/>
      <x:c r="F732" s="13"/>
      <x:c r="G732" s="13"/>
      <x:c r="H732" s="13"/>
      <x:c r="I732" s="13"/>
      <x:c r="J732" s="13"/>
      <x:c r="K732" s="13"/>
      <x:c r="L732" s="13"/>
      <x:c r="M732" s="13"/>
      <x:c r="N732" s="13"/>
      <x:c r="O732" s="13"/>
      <x:c r="P732" s="13"/>
    </x:row>
    <x:row r="733">
      <x:c r="E733" s="13"/>
      <x:c r="F733" s="13"/>
      <x:c r="G733" s="13"/>
      <x:c r="H733" s="13"/>
      <x:c r="I733" s="13"/>
      <x:c r="J733" s="13"/>
      <x:c r="K733" s="13"/>
      <x:c r="L733" s="13"/>
      <x:c r="M733" s="13"/>
      <x:c r="N733" s="13"/>
      <x:c r="O733" s="13"/>
      <x:c r="P733" s="13"/>
    </x:row>
    <x:row r="734">
      <x:c r="E734" s="13"/>
      <x:c r="F734" s="13"/>
      <x:c r="G734" s="13"/>
      <x:c r="H734" s="13"/>
      <x:c r="I734" s="13"/>
      <x:c r="J734" s="13"/>
      <x:c r="K734" s="13"/>
      <x:c r="L734" s="13"/>
      <x:c r="M734" s="13"/>
      <x:c r="N734" s="13"/>
      <x:c r="O734" s="13"/>
      <x:c r="P734" s="13"/>
    </x:row>
    <x:row r="735">
      <x:c r="E735" s="13"/>
      <x:c r="F735" s="13"/>
      <x:c r="G735" s="13"/>
      <x:c r="H735" s="13"/>
      <x:c r="I735" s="13"/>
      <x:c r="J735" s="13"/>
      <x:c r="K735" s="13"/>
      <x:c r="L735" s="13"/>
      <x:c r="M735" s="13"/>
      <x:c r="N735" s="13"/>
      <x:c r="O735" s="13"/>
      <x:c r="P735" s="13"/>
    </x:row>
    <x:row r="736">
      <x:c r="E736" s="13"/>
      <x:c r="F736" s="13"/>
      <x:c r="G736" s="13"/>
      <x:c r="H736" s="13"/>
      <x:c r="I736" s="13"/>
      <x:c r="J736" s="13"/>
      <x:c r="K736" s="13"/>
      <x:c r="L736" s="13"/>
      <x:c r="M736" s="13"/>
      <x:c r="N736" s="13"/>
      <x:c r="O736" s="13"/>
      <x:c r="P736" s="13"/>
    </x:row>
    <x:row r="737">
      <x:c r="E737" s="13"/>
      <x:c r="F737" s="13"/>
      <x:c r="G737" s="13"/>
      <x:c r="H737" s="13"/>
      <x:c r="I737" s="13"/>
      <x:c r="J737" s="13"/>
      <x:c r="K737" s="13"/>
      <x:c r="L737" s="13"/>
      <x:c r="M737" s="13"/>
      <x:c r="N737" s="13"/>
      <x:c r="O737" s="13"/>
      <x:c r="P737" s="13"/>
    </x:row>
    <x:row r="738">
      <x:c r="E738" s="13"/>
      <x:c r="F738" s="13"/>
      <x:c r="G738" s="13"/>
      <x:c r="H738" s="13"/>
      <x:c r="I738" s="13"/>
      <x:c r="J738" s="13"/>
      <x:c r="K738" s="13"/>
      <x:c r="L738" s="13"/>
      <x:c r="M738" s="13"/>
      <x:c r="N738" s="13"/>
      <x:c r="O738" s="13"/>
      <x:c r="P738" s="13"/>
    </x:row>
    <x:row r="739">
      <x:c r="E739" s="13"/>
      <x:c r="F739" s="13"/>
      <x:c r="G739" s="13"/>
      <x:c r="H739" s="13"/>
      <x:c r="I739" s="13"/>
      <x:c r="J739" s="13"/>
      <x:c r="K739" s="13"/>
      <x:c r="L739" s="13"/>
      <x:c r="M739" s="13"/>
      <x:c r="N739" s="13"/>
      <x:c r="O739" s="13"/>
      <x:c r="P739" s="13"/>
    </x:row>
    <x:row r="740">
      <x:c r="E740" s="13"/>
      <x:c r="F740" s="13"/>
      <x:c r="G740" s="13"/>
      <x:c r="H740" s="13"/>
      <x:c r="I740" s="13"/>
      <x:c r="J740" s="13"/>
      <x:c r="K740" s="13"/>
      <x:c r="L740" s="13"/>
      <x:c r="M740" s="13"/>
      <x:c r="N740" s="13"/>
      <x:c r="O740" s="13"/>
      <x:c r="P740" s="13"/>
    </x:row>
    <x:row r="741">
      <x:c r="E741" s="13"/>
      <x:c r="F741" s="13"/>
      <x:c r="G741" s="13"/>
      <x:c r="H741" s="13"/>
      <x:c r="I741" s="13"/>
      <x:c r="J741" s="13"/>
      <x:c r="K741" s="13"/>
      <x:c r="L741" s="13"/>
      <x:c r="M741" s="13"/>
      <x:c r="N741" s="13"/>
      <x:c r="O741" s="13"/>
      <x:c r="P741" s="13"/>
    </x:row>
    <x:row r="742">
      <x:c r="E742" s="13"/>
      <x:c r="F742" s="13"/>
      <x:c r="G742" s="13"/>
      <x:c r="H742" s="13"/>
      <x:c r="I742" s="13"/>
      <x:c r="J742" s="13"/>
      <x:c r="K742" s="13"/>
      <x:c r="L742" s="13"/>
      <x:c r="M742" s="13"/>
      <x:c r="N742" s="13"/>
      <x:c r="O742" s="13"/>
      <x:c r="P742" s="13"/>
    </x:row>
    <x:row r="743">
      <x:c r="E743" s="13"/>
      <x:c r="F743" s="13"/>
      <x:c r="G743" s="13"/>
      <x:c r="H743" s="13"/>
      <x:c r="I743" s="13"/>
      <x:c r="J743" s="13"/>
      <x:c r="K743" s="13"/>
      <x:c r="L743" s="13"/>
      <x:c r="M743" s="13"/>
      <x:c r="N743" s="13"/>
      <x:c r="O743" s="13"/>
      <x:c r="P743" s="13"/>
    </x:row>
    <x:row r="744">
      <x:c r="E744" s="13"/>
      <x:c r="F744" s="13"/>
      <x:c r="G744" s="13"/>
      <x:c r="H744" s="13"/>
      <x:c r="I744" s="13"/>
      <x:c r="J744" s="13"/>
      <x:c r="K744" s="13"/>
      <x:c r="L744" s="13"/>
      <x:c r="M744" s="13"/>
      <x:c r="N744" s="13"/>
      <x:c r="O744" s="13"/>
      <x:c r="P744" s="13"/>
    </x:row>
    <x:row r="745">
      <x:c r="E745" s="13"/>
      <x:c r="F745" s="13"/>
      <x:c r="G745" s="13"/>
      <x:c r="H745" s="13"/>
      <x:c r="I745" s="13"/>
      <x:c r="J745" s="13"/>
      <x:c r="K745" s="13"/>
      <x:c r="L745" s="13"/>
      <x:c r="M745" s="13"/>
      <x:c r="N745" s="13"/>
      <x:c r="O745" s="13"/>
      <x:c r="P745" s="13"/>
    </x:row>
    <x:row r="746">
      <x:c r="E746" s="13"/>
      <x:c r="F746" s="13"/>
      <x:c r="G746" s="13"/>
      <x:c r="H746" s="13"/>
      <x:c r="I746" s="13"/>
      <x:c r="J746" s="13"/>
      <x:c r="K746" s="13"/>
      <x:c r="L746" s="13"/>
      <x:c r="M746" s="13"/>
      <x:c r="N746" s="13"/>
      <x:c r="O746" s="13"/>
      <x:c r="P746" s="13"/>
    </x:row>
    <x:row r="747">
      <x:c r="E747" s="13"/>
      <x:c r="F747" s="13"/>
      <x:c r="G747" s="13"/>
      <x:c r="H747" s="13"/>
      <x:c r="I747" s="13"/>
      <x:c r="J747" s="13"/>
      <x:c r="K747" s="13"/>
      <x:c r="L747" s="13"/>
      <x:c r="M747" s="13"/>
      <x:c r="N747" s="13"/>
      <x:c r="O747" s="13"/>
      <x:c r="P747" s="13"/>
    </x:row>
    <x:row r="748">
      <x:c r="E748" s="13"/>
      <x:c r="F748" s="13"/>
      <x:c r="G748" s="13"/>
      <x:c r="H748" s="13"/>
      <x:c r="I748" s="13"/>
      <x:c r="J748" s="13"/>
      <x:c r="K748" s="13"/>
      <x:c r="L748" s="13"/>
      <x:c r="M748" s="13"/>
      <x:c r="N748" s="13"/>
      <x:c r="O748" s="13"/>
      <x:c r="P748" s="13"/>
    </x:row>
    <x:row r="749">
      <x:c r="E749" s="13"/>
      <x:c r="F749" s="13"/>
      <x:c r="G749" s="13"/>
      <x:c r="H749" s="13"/>
      <x:c r="I749" s="13"/>
      <x:c r="J749" s="13"/>
      <x:c r="K749" s="13"/>
      <x:c r="L749" s="13"/>
      <x:c r="M749" s="13"/>
      <x:c r="N749" s="13"/>
      <x:c r="O749" s="13"/>
      <x:c r="P749" s="13"/>
    </x:row>
    <x:row r="750">
      <x:c r="E750" s="13"/>
      <x:c r="F750" s="13"/>
      <x:c r="G750" s="13"/>
      <x:c r="H750" s="13"/>
      <x:c r="I750" s="13"/>
      <x:c r="J750" s="13"/>
      <x:c r="K750" s="13"/>
      <x:c r="L750" s="13"/>
      <x:c r="M750" s="13"/>
      <x:c r="N750" s="13"/>
      <x:c r="O750" s="13"/>
      <x:c r="P750" s="13"/>
    </x:row>
    <x:row r="751">
      <x:c r="E751" s="13"/>
      <x:c r="F751" s="13"/>
      <x:c r="G751" s="13"/>
      <x:c r="H751" s="13"/>
      <x:c r="I751" s="13"/>
      <x:c r="J751" s="13"/>
      <x:c r="K751" s="13"/>
      <x:c r="L751" s="13"/>
      <x:c r="M751" s="13"/>
      <x:c r="N751" s="13"/>
      <x:c r="O751" s="13"/>
      <x:c r="P751" s="13"/>
    </x:row>
    <x:row r="752">
      <x:c r="E752" s="13"/>
      <x:c r="F752" s="13"/>
      <x:c r="G752" s="13"/>
      <x:c r="H752" s="13"/>
      <x:c r="I752" s="13"/>
      <x:c r="J752" s="13"/>
      <x:c r="K752" s="13"/>
      <x:c r="L752" s="13"/>
      <x:c r="M752" s="13"/>
      <x:c r="N752" s="13"/>
      <x:c r="O752" s="13"/>
      <x:c r="P752" s="13"/>
    </x:row>
    <x:row r="753">
      <x:c r="E753" s="13"/>
      <x:c r="F753" s="13"/>
      <x:c r="G753" s="13"/>
      <x:c r="H753" s="13"/>
      <x:c r="I753" s="13"/>
      <x:c r="J753" s="13"/>
      <x:c r="K753" s="13"/>
      <x:c r="L753" s="13"/>
      <x:c r="M753" s="13"/>
      <x:c r="N753" s="13"/>
      <x:c r="O753" s="13"/>
      <x:c r="P753" s="13"/>
    </x:row>
    <x:row r="754">
      <x:c r="E754" s="13"/>
      <x:c r="F754" s="13"/>
      <x:c r="G754" s="13"/>
      <x:c r="H754" s="13"/>
      <x:c r="I754" s="13"/>
      <x:c r="J754" s="13"/>
      <x:c r="K754" s="13"/>
      <x:c r="L754" s="13"/>
      <x:c r="M754" s="13"/>
      <x:c r="N754" s="13"/>
      <x:c r="O754" s="13"/>
      <x:c r="P754" s="13"/>
    </x:row>
    <x:row r="755">
      <x:c r="E755" s="13"/>
      <x:c r="F755" s="13"/>
      <x:c r="G755" s="13"/>
      <x:c r="H755" s="13"/>
      <x:c r="I755" s="13"/>
      <x:c r="J755" s="13"/>
      <x:c r="K755" s="13"/>
      <x:c r="L755" s="13"/>
      <x:c r="M755" s="13"/>
      <x:c r="N755" s="13"/>
      <x:c r="O755" s="13"/>
      <x:c r="P755" s="13"/>
    </x:row>
    <x:row r="756">
      <x:c r="E756" s="13"/>
      <x:c r="F756" s="13"/>
      <x:c r="G756" s="13"/>
      <x:c r="H756" s="13"/>
      <x:c r="I756" s="13"/>
      <x:c r="J756" s="13"/>
      <x:c r="K756" s="13"/>
      <x:c r="L756" s="13"/>
      <x:c r="M756" s="13"/>
      <x:c r="N756" s="13"/>
      <x:c r="O756" s="13"/>
      <x:c r="P756" s="13"/>
    </x:row>
    <x:row r="757">
      <x:c r="E757" s="13"/>
      <x:c r="F757" s="13"/>
      <x:c r="G757" s="13"/>
      <x:c r="H757" s="13"/>
      <x:c r="I757" s="13"/>
      <x:c r="J757" s="13"/>
      <x:c r="K757" s="13"/>
      <x:c r="L757" s="13"/>
      <x:c r="M757" s="13"/>
      <x:c r="N757" s="13"/>
      <x:c r="O757" s="13"/>
      <x:c r="P757" s="13"/>
    </x:row>
    <x:row r="758">
      <x:c r="E758" s="13"/>
      <x:c r="F758" s="13"/>
      <x:c r="G758" s="13"/>
      <x:c r="H758" s="13"/>
      <x:c r="I758" s="13"/>
      <x:c r="J758" s="13"/>
      <x:c r="K758" s="13"/>
      <x:c r="L758" s="13"/>
      <x:c r="M758" s="13"/>
      <x:c r="N758" s="13"/>
      <x:c r="O758" s="13"/>
      <x:c r="P758" s="13"/>
    </x:row>
    <x:row r="759">
      <x:c r="E759" s="13"/>
      <x:c r="F759" s="13"/>
      <x:c r="G759" s="13"/>
      <x:c r="H759" s="13"/>
      <x:c r="I759" s="13"/>
      <x:c r="J759" s="13"/>
      <x:c r="K759" s="13"/>
      <x:c r="L759" s="13"/>
      <x:c r="M759" s="13"/>
      <x:c r="N759" s="13"/>
      <x:c r="O759" s="13"/>
      <x:c r="P759" s="13"/>
    </x:row>
    <x:row r="760">
      <x:c r="E760" s="13"/>
      <x:c r="F760" s="13"/>
      <x:c r="G760" s="13"/>
      <x:c r="H760" s="13"/>
      <x:c r="I760" s="13"/>
      <x:c r="J760" s="13"/>
      <x:c r="K760" s="13"/>
      <x:c r="L760" s="13"/>
      <x:c r="M760" s="13"/>
      <x:c r="N760" s="13"/>
      <x:c r="O760" s="13"/>
      <x:c r="P760" s="13"/>
    </x:row>
    <x:row r="761">
      <x:c r="E761" s="13"/>
      <x:c r="F761" s="13"/>
      <x:c r="G761" s="13"/>
      <x:c r="H761" s="13"/>
      <x:c r="I761" s="13"/>
      <x:c r="J761" s="13"/>
      <x:c r="K761" s="13"/>
      <x:c r="L761" s="13"/>
      <x:c r="M761" s="13"/>
      <x:c r="N761" s="13"/>
      <x:c r="O761" s="13"/>
      <x:c r="P761" s="13"/>
    </x:row>
    <x:row r="762">
      <x:c r="E762" s="13"/>
      <x:c r="F762" s="13"/>
      <x:c r="G762" s="13"/>
      <x:c r="H762" s="13"/>
      <x:c r="I762" s="13"/>
      <x:c r="J762" s="13"/>
      <x:c r="K762" s="13"/>
      <x:c r="L762" s="13"/>
      <x:c r="M762" s="13"/>
      <x:c r="N762" s="13"/>
      <x:c r="O762" s="13"/>
      <x:c r="P762" s="13"/>
    </x:row>
    <x:row r="763">
      <x:c r="E763" s="13"/>
      <x:c r="F763" s="13"/>
      <x:c r="G763" s="13"/>
      <x:c r="H763" s="13"/>
      <x:c r="I763" s="13"/>
      <x:c r="J763" s="13"/>
      <x:c r="K763" s="13"/>
      <x:c r="L763" s="13"/>
      <x:c r="M763" s="13"/>
      <x:c r="N763" s="13"/>
      <x:c r="O763" s="13"/>
      <x:c r="P763" s="13"/>
    </x:row>
    <x:row r="764">
      <x:c r="E764" s="13"/>
      <x:c r="F764" s="13"/>
      <x:c r="G764" s="13"/>
      <x:c r="H764" s="13"/>
      <x:c r="I764" s="13"/>
      <x:c r="J764" s="13"/>
      <x:c r="K764" s="13"/>
      <x:c r="L764" s="13"/>
      <x:c r="M764" s="13"/>
      <x:c r="N764" s="13"/>
      <x:c r="O764" s="13"/>
      <x:c r="P764" s="13"/>
    </x:row>
    <x:row r="765">
      <x:c r="E765" s="13"/>
      <x:c r="F765" s="13"/>
      <x:c r="G765" s="13"/>
      <x:c r="H765" s="13"/>
      <x:c r="I765" s="13"/>
      <x:c r="J765" s="13"/>
      <x:c r="K765" s="13"/>
      <x:c r="L765" s="13"/>
      <x:c r="M765" s="13"/>
      <x:c r="N765" s="13"/>
      <x:c r="O765" s="13"/>
      <x:c r="P765" s="13"/>
    </x:row>
    <x:row r="766">
      <x:c r="E766" s="13"/>
      <x:c r="F766" s="13"/>
      <x:c r="G766" s="13"/>
      <x:c r="H766" s="13"/>
      <x:c r="I766" s="13"/>
      <x:c r="J766" s="13"/>
      <x:c r="K766" s="13"/>
      <x:c r="L766" s="13"/>
      <x:c r="M766" s="13"/>
      <x:c r="N766" s="13"/>
      <x:c r="O766" s="13"/>
      <x:c r="P766" s="13"/>
    </x:row>
    <x:row r="767">
      <x:c r="E767" s="13"/>
      <x:c r="F767" s="13"/>
      <x:c r="G767" s="13"/>
      <x:c r="H767" s="13"/>
      <x:c r="I767" s="13"/>
      <x:c r="J767" s="13"/>
      <x:c r="K767" s="13"/>
      <x:c r="L767" s="13"/>
      <x:c r="M767" s="13"/>
      <x:c r="N767" s="13"/>
      <x:c r="O767" s="13"/>
      <x:c r="P767" s="13"/>
    </x:row>
    <x:row r="768">
      <x:c r="E768" s="13"/>
      <x:c r="F768" s="13"/>
      <x:c r="G768" s="13"/>
      <x:c r="H768" s="13"/>
      <x:c r="I768" s="13"/>
      <x:c r="J768" s="13"/>
      <x:c r="K768" s="13"/>
      <x:c r="L768" s="13"/>
      <x:c r="M768" s="13"/>
      <x:c r="N768" s="13"/>
      <x:c r="O768" s="13"/>
      <x:c r="P768" s="13"/>
    </x:row>
    <x:row r="769">
      <x:c r="E769" s="13"/>
      <x:c r="F769" s="13"/>
      <x:c r="G769" s="13"/>
      <x:c r="H769" s="13"/>
      <x:c r="I769" s="13"/>
      <x:c r="J769" s="13"/>
      <x:c r="K769" s="13"/>
      <x:c r="L769" s="13"/>
      <x:c r="M769" s="13"/>
      <x:c r="N769" s="13"/>
      <x:c r="O769" s="13"/>
      <x:c r="P769" s="13"/>
    </x:row>
    <x:row r="770">
      <x:c r="E770" s="13"/>
      <x:c r="F770" s="13"/>
      <x:c r="G770" s="13"/>
      <x:c r="H770" s="13"/>
      <x:c r="I770" s="13"/>
      <x:c r="J770" s="13"/>
      <x:c r="K770" s="13"/>
      <x:c r="L770" s="13"/>
      <x:c r="M770" s="13"/>
      <x:c r="N770" s="13"/>
      <x:c r="O770" s="13"/>
      <x:c r="P770" s="13"/>
    </x:row>
    <x:row r="771">
      <x:c r="E771" s="13"/>
      <x:c r="F771" s="13"/>
      <x:c r="G771" s="13"/>
      <x:c r="H771" s="13"/>
      <x:c r="I771" s="13"/>
      <x:c r="J771" s="13"/>
      <x:c r="K771" s="13"/>
      <x:c r="L771" s="13"/>
      <x:c r="M771" s="13"/>
      <x:c r="N771" s="13"/>
      <x:c r="O771" s="13"/>
      <x:c r="P771" s="13"/>
    </x:row>
    <x:row r="772">
      <x:c r="E772" s="13"/>
      <x:c r="F772" s="13"/>
      <x:c r="G772" s="13"/>
      <x:c r="H772" s="13"/>
      <x:c r="I772" s="13"/>
      <x:c r="J772" s="13"/>
      <x:c r="K772" s="13"/>
      <x:c r="L772" s="13"/>
      <x:c r="M772" s="13"/>
      <x:c r="N772" s="13"/>
      <x:c r="O772" s="13"/>
      <x:c r="P772" s="13"/>
    </x:row>
    <x:row r="773">
      <x:c r="E773" s="13"/>
      <x:c r="F773" s="13"/>
      <x:c r="G773" s="13"/>
      <x:c r="H773" s="13"/>
      <x:c r="I773" s="13"/>
      <x:c r="J773" s="13"/>
      <x:c r="K773" s="13"/>
      <x:c r="L773" s="13"/>
      <x:c r="M773" s="13"/>
      <x:c r="N773" s="13"/>
      <x:c r="O773" s="13"/>
      <x:c r="P773" s="13"/>
    </x:row>
    <x:row r="774">
      <x:c r="E774" s="13"/>
      <x:c r="F774" s="13"/>
      <x:c r="G774" s="13"/>
      <x:c r="H774" s="13"/>
      <x:c r="I774" s="13"/>
      <x:c r="J774" s="13"/>
      <x:c r="K774" s="13"/>
      <x:c r="L774" s="13"/>
      <x:c r="M774" s="13"/>
      <x:c r="N774" s="13"/>
      <x:c r="O774" s="13"/>
      <x:c r="P774" s="13"/>
    </x:row>
    <x:row r="775">
      <x:c r="E775" s="13"/>
      <x:c r="F775" s="13"/>
      <x:c r="G775" s="13"/>
      <x:c r="H775" s="13"/>
      <x:c r="I775" s="13"/>
      <x:c r="J775" s="13"/>
      <x:c r="K775" s="13"/>
      <x:c r="L775" s="13"/>
      <x:c r="M775" s="13"/>
      <x:c r="N775" s="13"/>
      <x:c r="O775" s="13"/>
      <x:c r="P775" s="13"/>
    </x:row>
    <x:row r="776">
      <x:c r="E776" s="13"/>
      <x:c r="F776" s="13"/>
      <x:c r="G776" s="13"/>
      <x:c r="H776" s="13"/>
      <x:c r="I776" s="13"/>
      <x:c r="J776" s="13"/>
      <x:c r="K776" s="13"/>
      <x:c r="L776" s="13"/>
      <x:c r="M776" s="13"/>
      <x:c r="N776" s="13"/>
      <x:c r="O776" s="13"/>
      <x:c r="P776" s="13"/>
    </x:row>
    <x:row r="777">
      <x:c r="E777" s="13"/>
      <x:c r="F777" s="13"/>
      <x:c r="G777" s="13"/>
      <x:c r="H777" s="13"/>
      <x:c r="I777" s="13"/>
      <x:c r="J777" s="13"/>
      <x:c r="K777" s="13"/>
      <x:c r="L777" s="13"/>
      <x:c r="M777" s="13"/>
      <x:c r="N777" s="13"/>
      <x:c r="O777" s="13"/>
      <x:c r="P777" s="13"/>
    </x:row>
    <x:row r="778">
      <x:c r="E778" s="13"/>
      <x:c r="F778" s="13"/>
      <x:c r="G778" s="13"/>
      <x:c r="H778" s="13"/>
      <x:c r="I778" s="13"/>
      <x:c r="J778" s="13"/>
      <x:c r="K778" s="13"/>
      <x:c r="L778" s="13"/>
      <x:c r="M778" s="13"/>
      <x:c r="N778" s="13"/>
      <x:c r="O778" s="13"/>
      <x:c r="P778" s="13"/>
    </x:row>
    <x:row r="779">
      <x:c r="E779" s="13"/>
      <x:c r="F779" s="13"/>
      <x:c r="G779" s="13"/>
      <x:c r="H779" s="13"/>
      <x:c r="I779" s="13"/>
      <x:c r="J779" s="13"/>
      <x:c r="K779" s="13"/>
      <x:c r="L779" s="13"/>
      <x:c r="M779" s="13"/>
      <x:c r="N779" s="13"/>
      <x:c r="O779" s="13"/>
      <x:c r="P779" s="13"/>
    </x:row>
    <x:row r="780">
      <x:c r="E780" s="13"/>
      <x:c r="F780" s="13"/>
      <x:c r="G780" s="13"/>
      <x:c r="H780" s="13"/>
      <x:c r="I780" s="13"/>
      <x:c r="J780" s="13"/>
      <x:c r="K780" s="13"/>
      <x:c r="L780" s="13"/>
      <x:c r="M780" s="13"/>
      <x:c r="N780" s="13"/>
      <x:c r="O780" s="13"/>
      <x:c r="P780" s="13"/>
    </x:row>
    <x:row r="781">
      <x:c r="E781" s="13"/>
      <x:c r="F781" s="13"/>
      <x:c r="G781" s="13"/>
      <x:c r="H781" s="13"/>
      <x:c r="I781" s="13"/>
      <x:c r="J781" s="13"/>
      <x:c r="K781" s="13"/>
      <x:c r="L781" s="13"/>
      <x:c r="M781" s="13"/>
      <x:c r="N781" s="13"/>
      <x:c r="O781" s="13"/>
      <x:c r="P781" s="13"/>
    </x:row>
    <x:row r="782">
      <x:c r="E782" s="13"/>
      <x:c r="F782" s="13"/>
      <x:c r="G782" s="13"/>
      <x:c r="H782" s="13"/>
      <x:c r="I782" s="13"/>
      <x:c r="J782" s="13"/>
      <x:c r="K782" s="13"/>
      <x:c r="L782" s="13"/>
      <x:c r="M782" s="13"/>
      <x:c r="N782" s="13"/>
      <x:c r="O782" s="13"/>
      <x:c r="P782" s="13"/>
    </x:row>
    <x:row r="783">
      <x:c r="E783" s="13"/>
      <x:c r="F783" s="13"/>
      <x:c r="G783" s="13"/>
      <x:c r="H783" s="13"/>
      <x:c r="I783" s="13"/>
      <x:c r="J783" s="13"/>
      <x:c r="K783" s="13"/>
      <x:c r="L783" s="13"/>
      <x:c r="M783" s="13"/>
      <x:c r="N783" s="13"/>
      <x:c r="O783" s="13"/>
      <x:c r="P783" s="13"/>
    </x:row>
    <x:row r="784">
      <x:c r="E784" s="13"/>
      <x:c r="F784" s="13"/>
      <x:c r="G784" s="13"/>
      <x:c r="H784" s="13"/>
      <x:c r="I784" s="13"/>
      <x:c r="J784" s="13"/>
      <x:c r="K784" s="13"/>
      <x:c r="L784" s="13"/>
      <x:c r="M784" s="13"/>
      <x:c r="N784" s="13"/>
      <x:c r="O784" s="13"/>
      <x:c r="P784" s="13"/>
    </x:row>
    <x:row r="785">
      <x:c r="E785" s="13"/>
      <x:c r="F785" s="13"/>
      <x:c r="G785" s="13"/>
      <x:c r="H785" s="13"/>
      <x:c r="I785" s="13"/>
      <x:c r="J785" s="13"/>
      <x:c r="K785" s="13"/>
      <x:c r="L785" s="13"/>
      <x:c r="M785" s="13"/>
      <x:c r="N785" s="13"/>
      <x:c r="O785" s="13"/>
      <x:c r="P785" s="13"/>
    </x:row>
    <x:row r="786">
      <x:c r="E786" s="13"/>
      <x:c r="F786" s="13"/>
      <x:c r="G786" s="13"/>
      <x:c r="H786" s="13"/>
      <x:c r="I786" s="13"/>
      <x:c r="J786" s="13"/>
      <x:c r="K786" s="13"/>
      <x:c r="L786" s="13"/>
      <x:c r="M786" s="13"/>
      <x:c r="N786" s="13"/>
      <x:c r="O786" s="13"/>
      <x:c r="P786" s="13"/>
    </x:row>
    <x:row r="787">
      <x:c r="E787" s="13"/>
      <x:c r="F787" s="13"/>
      <x:c r="G787" s="13"/>
      <x:c r="H787" s="13"/>
      <x:c r="I787" s="13"/>
      <x:c r="J787" s="13"/>
      <x:c r="K787" s="13"/>
      <x:c r="L787" s="13"/>
      <x:c r="M787" s="13"/>
      <x:c r="N787" s="13"/>
      <x:c r="O787" s="13"/>
      <x:c r="P787" s="13"/>
    </x:row>
    <x:row r="788">
      <x:c r="E788" s="13"/>
      <x:c r="F788" s="13"/>
      <x:c r="G788" s="13"/>
      <x:c r="H788" s="13"/>
      <x:c r="I788" s="13"/>
      <x:c r="J788" s="13"/>
      <x:c r="K788" s="13"/>
      <x:c r="L788" s="13"/>
      <x:c r="M788" s="13"/>
      <x:c r="N788" s="13"/>
      <x:c r="O788" s="13"/>
      <x:c r="P788" s="13"/>
    </x:row>
    <x:row r="789">
      <x:c r="E789" s="13"/>
      <x:c r="F789" s="13"/>
      <x:c r="G789" s="13"/>
      <x:c r="H789" s="13"/>
      <x:c r="I789" s="13"/>
      <x:c r="J789" s="13"/>
      <x:c r="K789" s="13"/>
      <x:c r="L789" s="13"/>
      <x:c r="M789" s="13"/>
      <x:c r="N789" s="13"/>
      <x:c r="O789" s="13"/>
      <x:c r="P789" s="13"/>
    </x:row>
    <x:row r="790">
      <x:c r="E790" s="13"/>
      <x:c r="F790" s="13"/>
      <x:c r="G790" s="13"/>
      <x:c r="H790" s="13"/>
      <x:c r="I790" s="13"/>
      <x:c r="J790" s="13"/>
      <x:c r="K790" s="13"/>
      <x:c r="L790" s="13"/>
      <x:c r="M790" s="13"/>
      <x:c r="N790" s="13"/>
      <x:c r="O790" s="13"/>
      <x:c r="P790" s="13"/>
    </x:row>
    <x:row r="791">
      <x:c r="E791" s="13"/>
      <x:c r="F791" s="13"/>
      <x:c r="G791" s="13"/>
      <x:c r="H791" s="13"/>
      <x:c r="I791" s="13"/>
      <x:c r="J791" s="13"/>
      <x:c r="K791" s="13"/>
      <x:c r="L791" s="13"/>
      <x:c r="M791" s="13"/>
      <x:c r="N791" s="13"/>
      <x:c r="O791" s="13"/>
      <x:c r="P791" s="13"/>
    </x:row>
    <x:row r="792">
      <x:c r="E792" s="13"/>
      <x:c r="F792" s="13"/>
      <x:c r="G792" s="13"/>
      <x:c r="H792" s="13"/>
      <x:c r="I792" s="13"/>
      <x:c r="J792" s="13"/>
      <x:c r="K792" s="13"/>
      <x:c r="L792" s="13"/>
      <x:c r="M792" s="13"/>
      <x:c r="N792" s="13"/>
      <x:c r="O792" s="13"/>
      <x:c r="P792" s="13"/>
    </x:row>
    <x:row r="793">
      <x:c r="E793" s="13"/>
      <x:c r="F793" s="13"/>
      <x:c r="G793" s="13"/>
      <x:c r="H793" s="13"/>
      <x:c r="I793" s="13"/>
      <x:c r="J793" s="13"/>
      <x:c r="K793" s="13"/>
      <x:c r="L793" s="13"/>
      <x:c r="M793" s="13"/>
      <x:c r="N793" s="13"/>
      <x:c r="O793" s="13"/>
      <x:c r="P793" s="13"/>
    </x:row>
    <x:row r="794">
      <x:c r="E794" s="13"/>
      <x:c r="F794" s="13"/>
      <x:c r="G794" s="13"/>
      <x:c r="H794" s="13"/>
      <x:c r="I794" s="13"/>
      <x:c r="J794" s="13"/>
      <x:c r="K794" s="13"/>
      <x:c r="L794" s="13"/>
      <x:c r="M794" s="13"/>
      <x:c r="N794" s="13"/>
      <x:c r="O794" s="13"/>
      <x:c r="P794" s="13"/>
    </x:row>
    <x:row r="795">
      <x:c r="E795" s="13"/>
      <x:c r="F795" s="13"/>
      <x:c r="G795" s="13"/>
      <x:c r="H795" s="13"/>
      <x:c r="I795" s="13"/>
      <x:c r="J795" s="13"/>
      <x:c r="K795" s="13"/>
      <x:c r="L795" s="13"/>
      <x:c r="M795" s="13"/>
      <x:c r="N795" s="13"/>
      <x:c r="O795" s="13"/>
      <x:c r="P795" s="13"/>
    </x:row>
    <x:row r="796">
      <x:c r="E796" s="13"/>
      <x:c r="F796" s="13"/>
      <x:c r="G796" s="13"/>
      <x:c r="H796" s="13"/>
      <x:c r="I796" s="13"/>
      <x:c r="J796" s="13"/>
      <x:c r="K796" s="13"/>
      <x:c r="L796" s="13"/>
      <x:c r="M796" s="13"/>
      <x:c r="N796" s="13"/>
      <x:c r="O796" s="13"/>
      <x:c r="P796" s="13"/>
    </x:row>
    <x:row r="797">
      <x:c r="E797" s="13"/>
      <x:c r="F797" s="13"/>
      <x:c r="G797" s="13"/>
      <x:c r="H797" s="13"/>
      <x:c r="I797" s="13"/>
      <x:c r="J797" s="13"/>
      <x:c r="K797" s="13"/>
      <x:c r="L797" s="13"/>
      <x:c r="M797" s="13"/>
      <x:c r="N797" s="13"/>
      <x:c r="O797" s="13"/>
      <x:c r="P797" s="13"/>
    </x:row>
    <x:row r="798">
      <x:c r="E798" s="13"/>
      <x:c r="F798" s="13"/>
      <x:c r="G798" s="13"/>
      <x:c r="H798" s="13"/>
      <x:c r="I798" s="13"/>
      <x:c r="J798" s="13"/>
      <x:c r="K798" s="13"/>
      <x:c r="L798" s="13"/>
      <x:c r="M798" s="13"/>
      <x:c r="N798" s="13"/>
      <x:c r="O798" s="13"/>
      <x:c r="P798" s="13"/>
    </x:row>
    <x:row r="799">
      <x:c r="E799" s="13"/>
      <x:c r="F799" s="13"/>
      <x:c r="G799" s="13"/>
      <x:c r="H799" s="13"/>
      <x:c r="I799" s="13"/>
      <x:c r="J799" s="13"/>
      <x:c r="K799" s="13"/>
      <x:c r="L799" s="13"/>
      <x:c r="M799" s="13"/>
      <x:c r="N799" s="13"/>
      <x:c r="O799" s="13"/>
      <x:c r="P799" s="13"/>
    </x:row>
    <x:row r="800">
      <x:c r="E800" s="13"/>
      <x:c r="F800" s="13"/>
      <x:c r="G800" s="13"/>
      <x:c r="H800" s="13"/>
      <x:c r="I800" s="13"/>
      <x:c r="J800" s="13"/>
      <x:c r="K800" s="13"/>
      <x:c r="L800" s="13"/>
      <x:c r="M800" s="13"/>
      <x:c r="N800" s="13"/>
      <x:c r="O800" s="13"/>
      <x:c r="P800" s="13"/>
    </x:row>
    <x:row r="801">
      <x:c r="E801" s="13"/>
      <x:c r="F801" s="13"/>
      <x:c r="G801" s="13"/>
      <x:c r="H801" s="13"/>
      <x:c r="I801" s="13"/>
      <x:c r="J801" s="13"/>
      <x:c r="K801" s="13"/>
      <x:c r="L801" s="13"/>
      <x:c r="M801" s="13"/>
      <x:c r="N801" s="13"/>
      <x:c r="O801" s="13"/>
      <x:c r="P801" s="13"/>
    </x:row>
    <x:row r="802">
      <x:c r="E802" s="13"/>
      <x:c r="F802" s="13"/>
      <x:c r="G802" s="13"/>
      <x:c r="H802" s="13"/>
      <x:c r="I802" s="13"/>
      <x:c r="J802" s="13"/>
      <x:c r="K802" s="13"/>
      <x:c r="L802" s="13"/>
      <x:c r="M802" s="13"/>
      <x:c r="N802" s="13"/>
      <x:c r="O802" s="13"/>
      <x:c r="P802" s="13"/>
    </x:row>
    <x:row r="803">
      <x:c r="E803" s="13"/>
      <x:c r="F803" s="13"/>
      <x:c r="G803" s="13"/>
      <x:c r="H803" s="13"/>
      <x:c r="I803" s="13"/>
      <x:c r="J803" s="13"/>
      <x:c r="K803" s="13"/>
      <x:c r="L803" s="13"/>
      <x:c r="M803" s="13"/>
      <x:c r="N803" s="13"/>
      <x:c r="O803" s="13"/>
      <x:c r="P803" s="13"/>
    </x:row>
    <x:row r="804">
      <x:c r="E804" s="13"/>
      <x:c r="F804" s="13"/>
      <x:c r="G804" s="13"/>
      <x:c r="H804" s="13"/>
      <x:c r="I804" s="13"/>
      <x:c r="J804" s="13"/>
      <x:c r="K804" s="13"/>
      <x:c r="L804" s="13"/>
      <x:c r="M804" s="13"/>
      <x:c r="N804" s="13"/>
      <x:c r="O804" s="13"/>
      <x:c r="P804" s="13"/>
    </x:row>
    <x:row r="805">
      <x:c r="E805" s="13"/>
      <x:c r="F805" s="13"/>
      <x:c r="G805" s="13"/>
      <x:c r="H805" s="13"/>
      <x:c r="I805" s="13"/>
      <x:c r="J805" s="13"/>
      <x:c r="K805" s="13"/>
      <x:c r="L805" s="13"/>
      <x:c r="M805" s="13"/>
      <x:c r="N805" s="13"/>
      <x:c r="O805" s="13"/>
      <x:c r="P805" s="13"/>
    </x:row>
    <x:row r="806">
      <x:c r="E806" s="13"/>
      <x:c r="F806" s="13"/>
      <x:c r="G806" s="13"/>
      <x:c r="H806" s="13"/>
      <x:c r="I806" s="13"/>
      <x:c r="J806" s="13"/>
      <x:c r="K806" s="13"/>
      <x:c r="L806" s="13"/>
      <x:c r="M806" s="13"/>
      <x:c r="N806" s="13"/>
      <x:c r="O806" s="13"/>
      <x:c r="P806" s="13"/>
    </x:row>
    <x:row r="807">
      <x:c r="E807" s="13"/>
      <x:c r="F807" s="13"/>
      <x:c r="G807" s="13"/>
      <x:c r="H807" s="13"/>
      <x:c r="I807" s="13"/>
      <x:c r="J807" s="13"/>
      <x:c r="K807" s="13"/>
      <x:c r="L807" s="13"/>
      <x:c r="M807" s="13"/>
      <x:c r="N807" s="13"/>
      <x:c r="O807" s="13"/>
      <x:c r="P807" s="13"/>
    </x:row>
    <x:row r="808">
      <x:c r="E808" s="13"/>
      <x:c r="F808" s="13"/>
      <x:c r="G808" s="13"/>
      <x:c r="H808" s="13"/>
      <x:c r="I808" s="13"/>
      <x:c r="J808" s="13"/>
      <x:c r="K808" s="13"/>
      <x:c r="L808" s="13"/>
      <x:c r="M808" s="13"/>
      <x:c r="N808" s="13"/>
      <x:c r="O808" s="13"/>
      <x:c r="P808" s="13"/>
    </x:row>
    <x:row r="809">
      <x:c r="E809" s="13"/>
      <x:c r="F809" s="13"/>
      <x:c r="G809" s="13"/>
      <x:c r="H809" s="13"/>
      <x:c r="I809" s="13"/>
      <x:c r="J809" s="13"/>
      <x:c r="K809" s="13"/>
      <x:c r="L809" s="13"/>
      <x:c r="M809" s="13"/>
      <x:c r="N809" s="13"/>
      <x:c r="O809" s="13"/>
      <x:c r="P809" s="13"/>
    </x:row>
    <x:row r="810">
      <x:c r="E810" s="13"/>
      <x:c r="F810" s="13"/>
      <x:c r="G810" s="13"/>
      <x:c r="H810" s="13"/>
      <x:c r="I810" s="13"/>
      <x:c r="J810" s="13"/>
      <x:c r="K810" s="13"/>
      <x:c r="L810" s="13"/>
      <x:c r="M810" s="13"/>
      <x:c r="N810" s="13"/>
      <x:c r="O810" s="13"/>
      <x:c r="P810" s="13"/>
    </x:row>
    <x:row r="811">
      <x:c r="E811" s="13"/>
      <x:c r="F811" s="13"/>
      <x:c r="G811" s="13"/>
      <x:c r="H811" s="13"/>
      <x:c r="I811" s="13"/>
      <x:c r="J811" s="13"/>
      <x:c r="K811" s="13"/>
      <x:c r="L811" s="13"/>
      <x:c r="M811" s="13"/>
      <x:c r="N811" s="13"/>
      <x:c r="O811" s="13"/>
      <x:c r="P811" s="13"/>
    </x:row>
    <x:row r="812">
      <x:c r="E812" s="13"/>
      <x:c r="F812" s="13"/>
      <x:c r="G812" s="13"/>
      <x:c r="H812" s="13"/>
      <x:c r="I812" s="13"/>
      <x:c r="J812" s="13"/>
      <x:c r="K812" s="13"/>
      <x:c r="L812" s="13"/>
      <x:c r="M812" s="13"/>
      <x:c r="N812" s="13"/>
      <x:c r="O812" s="13"/>
      <x:c r="P812" s="13"/>
    </x:row>
    <x:row r="813">
      <x:c r="E813" s="13"/>
      <x:c r="F813" s="13"/>
      <x:c r="G813" s="13"/>
      <x:c r="H813" s="13"/>
      <x:c r="I813" s="13"/>
      <x:c r="J813" s="13"/>
      <x:c r="K813" s="13"/>
      <x:c r="L813" s="13"/>
      <x:c r="M813" s="13"/>
      <x:c r="N813" s="13"/>
      <x:c r="O813" s="13"/>
      <x:c r="P813" s="13"/>
    </x:row>
    <x:row r="814">
      <x:c r="E814" s="13"/>
      <x:c r="F814" s="13"/>
      <x:c r="G814" s="13"/>
      <x:c r="H814" s="13"/>
      <x:c r="I814" s="13"/>
      <x:c r="J814" s="13"/>
      <x:c r="K814" s="13"/>
      <x:c r="L814" s="13"/>
      <x:c r="M814" s="13"/>
      <x:c r="N814" s="13"/>
      <x:c r="O814" s="13"/>
      <x:c r="P814" s="13"/>
    </x:row>
    <x:row r="815">
      <x:c r="E815" s="13"/>
      <x:c r="F815" s="13"/>
      <x:c r="G815" s="13"/>
      <x:c r="H815" s="13"/>
      <x:c r="I815" s="13"/>
      <x:c r="J815" s="13"/>
      <x:c r="K815" s="13"/>
      <x:c r="L815" s="13"/>
      <x:c r="M815" s="13"/>
      <x:c r="N815" s="13"/>
      <x:c r="O815" s="13"/>
      <x:c r="P815" s="13"/>
    </x:row>
    <x:row r="816">
      <x:c r="E816" s="13"/>
      <x:c r="F816" s="13"/>
      <x:c r="G816" s="13"/>
      <x:c r="H816" s="13"/>
      <x:c r="I816" s="13"/>
      <x:c r="J816" s="13"/>
      <x:c r="K816" s="13"/>
      <x:c r="L816" s="13"/>
      <x:c r="M816" s="13"/>
      <x:c r="N816" s="13"/>
      <x:c r="O816" s="13"/>
      <x:c r="P816" s="13"/>
    </x:row>
    <x:row r="817">
      <x:c r="E817" s="13"/>
      <x:c r="F817" s="13"/>
      <x:c r="G817" s="13"/>
      <x:c r="H817" s="13"/>
      <x:c r="I817" s="13"/>
      <x:c r="J817" s="13"/>
      <x:c r="K817" s="13"/>
      <x:c r="L817" s="13"/>
      <x:c r="M817" s="13"/>
      <x:c r="N817" s="13"/>
      <x:c r="O817" s="13"/>
      <x:c r="P817" s="13"/>
    </x:row>
    <x:row r="818">
      <x:c r="E818" s="13"/>
      <x:c r="F818" s="13"/>
      <x:c r="G818" s="13"/>
      <x:c r="H818" s="13"/>
      <x:c r="I818" s="13"/>
      <x:c r="J818" s="13"/>
      <x:c r="K818" s="13"/>
      <x:c r="L818" s="13"/>
      <x:c r="M818" s="13"/>
      <x:c r="N818" s="13"/>
      <x:c r="O818" s="13"/>
      <x:c r="P818" s="13"/>
    </x:row>
    <x:row r="819">
      <x:c r="E819" s="13"/>
      <x:c r="F819" s="13"/>
      <x:c r="G819" s="13"/>
      <x:c r="H819" s="13"/>
      <x:c r="I819" s="13"/>
      <x:c r="J819" s="13"/>
      <x:c r="K819" s="13"/>
      <x:c r="L819" s="13"/>
      <x:c r="M819" s="13"/>
      <x:c r="N819" s="13"/>
      <x:c r="O819" s="13"/>
      <x:c r="P819" s="13"/>
    </x:row>
    <x:row r="820">
      <x:c r="E820" s="13"/>
      <x:c r="F820" s="13"/>
      <x:c r="G820" s="13"/>
      <x:c r="H820" s="13"/>
      <x:c r="I820" s="13"/>
      <x:c r="J820" s="13"/>
      <x:c r="K820" s="13"/>
      <x:c r="L820" s="13"/>
      <x:c r="M820" s="13"/>
      <x:c r="N820" s="13"/>
      <x:c r="O820" s="13"/>
      <x:c r="P820" s="13"/>
    </x:row>
    <x:row r="821">
      <x:c r="E821" s="13"/>
      <x:c r="F821" s="13"/>
      <x:c r="G821" s="13"/>
      <x:c r="H821" s="13"/>
      <x:c r="I821" s="13"/>
      <x:c r="J821" s="13"/>
      <x:c r="K821" s="13"/>
      <x:c r="L821" s="13"/>
      <x:c r="M821" s="13"/>
      <x:c r="N821" s="13"/>
      <x:c r="O821" s="13"/>
      <x:c r="P821" s="13"/>
    </x:row>
    <x:row r="822">
      <x:c r="E822" s="13"/>
      <x:c r="F822" s="13"/>
      <x:c r="G822" s="13"/>
      <x:c r="H822" s="13"/>
      <x:c r="I822" s="13"/>
      <x:c r="J822" s="13"/>
      <x:c r="K822" s="13"/>
      <x:c r="L822" s="13"/>
      <x:c r="M822" s="13"/>
      <x:c r="N822" s="13"/>
      <x:c r="O822" s="13"/>
      <x:c r="P822" s="13"/>
    </x:row>
    <x:row r="823">
      <x:c r="E823" s="13"/>
      <x:c r="F823" s="13"/>
      <x:c r="G823" s="13"/>
      <x:c r="H823" s="13"/>
      <x:c r="I823" s="13"/>
      <x:c r="J823" s="13"/>
      <x:c r="K823" s="13"/>
      <x:c r="L823" s="13"/>
      <x:c r="M823" s="13"/>
      <x:c r="N823" s="13"/>
      <x:c r="O823" s="13"/>
      <x:c r="P823" s="13"/>
    </x:row>
    <x:row r="824">
      <x:c r="E824" s="13"/>
      <x:c r="F824" s="13"/>
      <x:c r="G824" s="13"/>
      <x:c r="H824" s="13"/>
      <x:c r="I824" s="13"/>
      <x:c r="J824" s="13"/>
      <x:c r="K824" s="13"/>
      <x:c r="L824" s="13"/>
      <x:c r="M824" s="13"/>
      <x:c r="N824" s="13"/>
      <x:c r="O824" s="13"/>
      <x:c r="P824" s="13"/>
    </x:row>
    <x:row r="825">
      <x:c r="E825" s="13"/>
      <x:c r="F825" s="13"/>
      <x:c r="G825" s="13"/>
      <x:c r="H825" s="13"/>
      <x:c r="I825" s="13"/>
      <x:c r="J825" s="13"/>
      <x:c r="K825" s="13"/>
      <x:c r="L825" s="13"/>
      <x:c r="M825" s="13"/>
      <x:c r="N825" s="13"/>
      <x:c r="O825" s="13"/>
      <x:c r="P825" s="13"/>
    </x:row>
    <x:row r="826">
      <x:c r="E826" s="13"/>
      <x:c r="F826" s="13"/>
      <x:c r="G826" s="13"/>
      <x:c r="H826" s="13"/>
      <x:c r="I826" s="13"/>
      <x:c r="J826" s="13"/>
      <x:c r="K826" s="13"/>
      <x:c r="L826" s="13"/>
      <x:c r="M826" s="13"/>
      <x:c r="N826" s="13"/>
      <x:c r="O826" s="13"/>
      <x:c r="P826" s="13"/>
    </x:row>
    <x:row r="827">
      <x:c r="E827" s="13"/>
      <x:c r="F827" s="13"/>
      <x:c r="G827" s="13"/>
      <x:c r="H827" s="13"/>
      <x:c r="I827" s="13"/>
      <x:c r="J827" s="13"/>
      <x:c r="K827" s="13"/>
      <x:c r="L827" s="13"/>
      <x:c r="M827" s="13"/>
      <x:c r="N827" s="13"/>
      <x:c r="O827" s="13"/>
      <x:c r="P827" s="13"/>
    </x:row>
    <x:row r="828">
      <x:c r="E828" s="13"/>
      <x:c r="F828" s="13"/>
      <x:c r="G828" s="13"/>
      <x:c r="H828" s="13"/>
      <x:c r="I828" s="13"/>
      <x:c r="J828" s="13"/>
      <x:c r="K828" s="13"/>
      <x:c r="L828" s="13"/>
      <x:c r="M828" s="13"/>
      <x:c r="N828" s="13"/>
      <x:c r="O828" s="13"/>
      <x:c r="P828" s="13"/>
    </x:row>
    <x:row r="829">
      <x:c r="E829" s="13"/>
      <x:c r="F829" s="13"/>
      <x:c r="G829" s="13"/>
      <x:c r="H829" s="13"/>
      <x:c r="I829" s="13"/>
      <x:c r="J829" s="13"/>
      <x:c r="K829" s="13"/>
      <x:c r="L829" s="13"/>
      <x:c r="M829" s="13"/>
      <x:c r="N829" s="13"/>
      <x:c r="O829" s="13"/>
      <x:c r="P829" s="13"/>
    </x:row>
    <x:row r="830">
      <x:c r="E830" s="13"/>
      <x:c r="F830" s="13"/>
      <x:c r="G830" s="13"/>
      <x:c r="H830" s="13"/>
      <x:c r="I830" s="13"/>
      <x:c r="J830" s="13"/>
      <x:c r="K830" s="13"/>
      <x:c r="L830" s="13"/>
      <x:c r="M830" s="13"/>
      <x:c r="N830" s="13"/>
      <x:c r="O830" s="13"/>
      <x:c r="P830" s="13"/>
    </x:row>
    <x:row r="831">
      <x:c r="E831" s="13"/>
      <x:c r="F831" s="13"/>
      <x:c r="G831" s="13"/>
      <x:c r="H831" s="13"/>
      <x:c r="I831" s="13"/>
      <x:c r="J831" s="13"/>
      <x:c r="K831" s="13"/>
      <x:c r="L831" s="13"/>
      <x:c r="M831" s="13"/>
      <x:c r="N831" s="13"/>
      <x:c r="O831" s="13"/>
      <x:c r="P831" s="13"/>
    </x:row>
    <x:row r="832">
      <x:c r="E832" s="13"/>
      <x:c r="F832" s="13"/>
      <x:c r="G832" s="13"/>
      <x:c r="H832" s="13"/>
      <x:c r="I832" s="13"/>
      <x:c r="J832" s="13"/>
      <x:c r="K832" s="13"/>
      <x:c r="L832" s="13"/>
      <x:c r="M832" s="13"/>
      <x:c r="N832" s="13"/>
      <x:c r="O832" s="13"/>
      <x:c r="P832" s="13"/>
    </x:row>
    <x:row r="833">
      <x:c r="E833" s="13"/>
      <x:c r="F833" s="13"/>
      <x:c r="G833" s="13"/>
      <x:c r="H833" s="13"/>
      <x:c r="I833" s="13"/>
      <x:c r="J833" s="13"/>
      <x:c r="K833" s="13"/>
      <x:c r="L833" s="13"/>
      <x:c r="M833" s="13"/>
      <x:c r="N833" s="13"/>
      <x:c r="O833" s="13"/>
      <x:c r="P833" s="13"/>
    </x:row>
    <x:row r="834">
      <x:c r="E834" s="13"/>
      <x:c r="F834" s="13"/>
      <x:c r="G834" s="13"/>
      <x:c r="H834" s="13"/>
      <x:c r="I834" s="13"/>
      <x:c r="J834" s="13"/>
      <x:c r="K834" s="13"/>
      <x:c r="L834" s="13"/>
      <x:c r="M834" s="13"/>
      <x:c r="N834" s="13"/>
      <x:c r="O834" s="13"/>
      <x:c r="P834" s="13"/>
    </x:row>
    <x:row r="835">
      <x:c r="E835" s="13"/>
      <x:c r="F835" s="13"/>
      <x:c r="G835" s="13"/>
      <x:c r="H835" s="13"/>
      <x:c r="I835" s="13"/>
      <x:c r="J835" s="13"/>
      <x:c r="K835" s="13"/>
      <x:c r="L835" s="13"/>
      <x:c r="M835" s="13"/>
      <x:c r="N835" s="13"/>
      <x:c r="O835" s="13"/>
      <x:c r="P835" s="13"/>
    </x:row>
    <x:row r="836">
      <x:c r="E836" s="13"/>
      <x:c r="F836" s="13"/>
      <x:c r="G836" s="13"/>
      <x:c r="H836" s="13"/>
      <x:c r="I836" s="13"/>
      <x:c r="J836" s="13"/>
      <x:c r="K836" s="13"/>
      <x:c r="L836" s="13"/>
      <x:c r="M836" s="13"/>
      <x:c r="N836" s="13"/>
      <x:c r="O836" s="13"/>
      <x:c r="P836" s="13"/>
    </x:row>
    <x:row r="837">
      <x:c r="E837" s="13"/>
      <x:c r="F837" s="13"/>
      <x:c r="G837" s="13"/>
      <x:c r="H837" s="13"/>
      <x:c r="I837" s="13"/>
      <x:c r="J837" s="13"/>
      <x:c r="K837" s="13"/>
      <x:c r="L837" s="13"/>
      <x:c r="M837" s="13"/>
      <x:c r="N837" s="13"/>
      <x:c r="O837" s="13"/>
      <x:c r="P837" s="13"/>
    </x:row>
    <x:row r="838">
      <x:c r="E838" s="13"/>
      <x:c r="F838" s="13"/>
      <x:c r="G838" s="13"/>
      <x:c r="H838" s="13"/>
      <x:c r="I838" s="13"/>
      <x:c r="J838" s="13"/>
      <x:c r="K838" s="13"/>
      <x:c r="L838" s="13"/>
      <x:c r="M838" s="13"/>
      <x:c r="N838" s="13"/>
      <x:c r="O838" s="13"/>
      <x:c r="P838" s="13"/>
    </x:row>
    <x:row r="839">
      <x:c r="E839" s="13"/>
      <x:c r="F839" s="13"/>
      <x:c r="G839" s="13"/>
      <x:c r="H839" s="13"/>
      <x:c r="I839" s="13"/>
      <x:c r="J839" s="13"/>
      <x:c r="K839" s="13"/>
      <x:c r="L839" s="13"/>
      <x:c r="M839" s="13"/>
      <x:c r="N839" s="13"/>
      <x:c r="O839" s="13"/>
      <x:c r="P839" s="13"/>
    </x:row>
    <x:row r="840">
      <x:c r="E840" s="13"/>
      <x:c r="F840" s="13"/>
      <x:c r="G840" s="13"/>
      <x:c r="H840" s="13"/>
      <x:c r="I840" s="13"/>
      <x:c r="J840" s="13"/>
      <x:c r="K840" s="13"/>
      <x:c r="L840" s="13"/>
      <x:c r="M840" s="13"/>
      <x:c r="N840" s="13"/>
      <x:c r="O840" s="13"/>
      <x:c r="P840" s="13"/>
    </x:row>
    <x:row r="841">
      <x:c r="E841" s="13"/>
      <x:c r="F841" s="13"/>
      <x:c r="G841" s="13"/>
      <x:c r="H841" s="13"/>
      <x:c r="I841" s="13"/>
      <x:c r="J841" s="13"/>
      <x:c r="K841" s="13"/>
      <x:c r="L841" s="13"/>
      <x:c r="M841" s="13"/>
      <x:c r="N841" s="13"/>
      <x:c r="O841" s="13"/>
      <x:c r="P841" s="13"/>
    </x:row>
    <x:row r="842">
      <x:c r="E842" s="13"/>
      <x:c r="F842" s="13"/>
      <x:c r="G842" s="13"/>
      <x:c r="H842" s="13"/>
      <x:c r="I842" s="13"/>
      <x:c r="J842" s="13"/>
      <x:c r="K842" s="13"/>
      <x:c r="L842" s="13"/>
      <x:c r="M842" s="13"/>
      <x:c r="N842" s="13"/>
      <x:c r="O842" s="13"/>
      <x:c r="P842" s="13"/>
    </x:row>
    <x:row r="843">
      <x:c r="E843" s="13"/>
      <x:c r="F843" s="13"/>
      <x:c r="G843" s="13"/>
      <x:c r="H843" s="13"/>
      <x:c r="I843" s="13"/>
      <x:c r="J843" s="13"/>
      <x:c r="K843" s="13"/>
      <x:c r="L843" s="13"/>
      <x:c r="M843" s="13"/>
      <x:c r="N843" s="13"/>
      <x:c r="O843" s="13"/>
      <x:c r="P843" s="13"/>
    </x:row>
    <x:row r="844">
      <x:c r="E844" s="13"/>
      <x:c r="F844" s="13"/>
      <x:c r="G844" s="13"/>
      <x:c r="H844" s="13"/>
      <x:c r="I844" s="13"/>
      <x:c r="J844" s="13"/>
      <x:c r="K844" s="13"/>
      <x:c r="L844" s="13"/>
      <x:c r="M844" s="13"/>
      <x:c r="N844" s="13"/>
      <x:c r="O844" s="13"/>
      <x:c r="P844" s="13"/>
    </x:row>
    <x:row r="845">
      <x:c r="E845" s="13"/>
      <x:c r="F845" s="13"/>
      <x:c r="G845" s="13"/>
      <x:c r="H845" s="13"/>
      <x:c r="I845" s="13"/>
      <x:c r="J845" s="13"/>
      <x:c r="K845" s="13"/>
      <x:c r="L845" s="13"/>
      <x:c r="M845" s="13"/>
      <x:c r="N845" s="13"/>
      <x:c r="O845" s="13"/>
      <x:c r="P845" s="13"/>
    </x:row>
    <x:row r="846">
      <x:c r="E846" s="13"/>
      <x:c r="F846" s="13"/>
      <x:c r="G846" s="13"/>
      <x:c r="H846" s="13"/>
      <x:c r="I846" s="13"/>
      <x:c r="J846" s="13"/>
      <x:c r="K846" s="13"/>
      <x:c r="L846" s="13"/>
      <x:c r="M846" s="13"/>
      <x:c r="N846" s="13"/>
      <x:c r="O846" s="13"/>
      <x:c r="P846" s="13"/>
    </x:row>
    <x:row r="847">
      <x:c r="E847" s="13"/>
      <x:c r="F847" s="13"/>
      <x:c r="G847" s="13"/>
      <x:c r="H847" s="13"/>
      <x:c r="I847" s="13"/>
      <x:c r="J847" s="13"/>
      <x:c r="K847" s="13"/>
      <x:c r="L847" s="13"/>
      <x:c r="M847" s="13"/>
      <x:c r="N847" s="13"/>
      <x:c r="O847" s="13"/>
      <x:c r="P847" s="13"/>
    </x:row>
    <x:row r="848">
      <x:c r="E848" s="13"/>
      <x:c r="F848" s="13"/>
      <x:c r="G848" s="13"/>
      <x:c r="H848" s="13"/>
      <x:c r="I848" s="13"/>
      <x:c r="J848" s="13"/>
      <x:c r="K848" s="13"/>
      <x:c r="L848" s="13"/>
      <x:c r="M848" s="13"/>
      <x:c r="N848" s="13"/>
      <x:c r="O848" s="13"/>
      <x:c r="P848" s="13"/>
    </x:row>
    <x:row r="849">
      <x:c r="E849" s="13"/>
      <x:c r="F849" s="13"/>
      <x:c r="G849" s="13"/>
      <x:c r="H849" s="13"/>
      <x:c r="I849" s="13"/>
      <x:c r="J849" s="13"/>
      <x:c r="K849" s="13"/>
      <x:c r="L849" s="13"/>
      <x:c r="M849" s="13"/>
      <x:c r="N849" s="13"/>
      <x:c r="O849" s="13"/>
      <x:c r="P849" s="13"/>
    </x:row>
    <x:row r="850">
      <x:c r="E850" s="13"/>
      <x:c r="F850" s="13"/>
      <x:c r="G850" s="13"/>
      <x:c r="H850" s="13"/>
      <x:c r="I850" s="13"/>
      <x:c r="J850" s="13"/>
      <x:c r="K850" s="13"/>
      <x:c r="L850" s="13"/>
      <x:c r="M850" s="13"/>
      <x:c r="N850" s="13"/>
      <x:c r="O850" s="13"/>
      <x:c r="P850" s="13"/>
    </x:row>
    <x:row r="851">
      <x:c r="E851" s="13"/>
      <x:c r="F851" s="13"/>
      <x:c r="G851" s="13"/>
      <x:c r="H851" s="13"/>
      <x:c r="I851" s="13"/>
      <x:c r="J851" s="13"/>
      <x:c r="K851" s="13"/>
      <x:c r="L851" s="13"/>
      <x:c r="M851" s="13"/>
      <x:c r="N851" s="13"/>
      <x:c r="O851" s="13"/>
      <x:c r="P851" s="13"/>
    </x:row>
    <x:row r="852">
      <x:c r="E852" s="13"/>
      <x:c r="F852" s="13"/>
      <x:c r="G852" s="13"/>
      <x:c r="H852" s="13"/>
      <x:c r="I852" s="13"/>
      <x:c r="J852" s="13"/>
      <x:c r="K852" s="13"/>
      <x:c r="L852" s="13"/>
      <x:c r="M852" s="13"/>
      <x:c r="N852" s="13"/>
      <x:c r="O852" s="13"/>
      <x:c r="P852" s="13"/>
    </x:row>
    <x:row r="853">
      <x:c r="E853" s="13"/>
      <x:c r="F853" s="13"/>
      <x:c r="G853" s="13"/>
      <x:c r="H853" s="13"/>
      <x:c r="I853" s="13"/>
      <x:c r="J853" s="13"/>
      <x:c r="K853" s="13"/>
      <x:c r="L853" s="13"/>
      <x:c r="M853" s="13"/>
      <x:c r="N853" s="13"/>
      <x:c r="O853" s="13"/>
      <x:c r="P853" s="13"/>
    </x:row>
    <x:row r="854">
      <x:c r="E854" s="13"/>
      <x:c r="F854" s="13"/>
      <x:c r="G854" s="13"/>
      <x:c r="H854" s="13"/>
      <x:c r="I854" s="13"/>
      <x:c r="J854" s="13"/>
      <x:c r="K854" s="13"/>
      <x:c r="L854" s="13"/>
      <x:c r="M854" s="13"/>
      <x:c r="N854" s="13"/>
      <x:c r="O854" s="13"/>
      <x:c r="P854" s="13"/>
    </x:row>
    <x:row r="855">
      <x:c r="E855" s="13"/>
      <x:c r="F855" s="13"/>
      <x:c r="G855" s="13"/>
      <x:c r="H855" s="13"/>
      <x:c r="I855" s="13"/>
      <x:c r="J855" s="13"/>
      <x:c r="K855" s="13"/>
      <x:c r="L855" s="13"/>
      <x:c r="M855" s="13"/>
      <x:c r="N855" s="13"/>
      <x:c r="O855" s="13"/>
      <x:c r="P855" s="13"/>
    </x:row>
    <x:row r="856">
      <x:c r="E856" s="13"/>
      <x:c r="F856" s="13"/>
      <x:c r="G856" s="13"/>
      <x:c r="H856" s="13"/>
      <x:c r="I856" s="13"/>
      <x:c r="J856" s="13"/>
      <x:c r="K856" s="13"/>
      <x:c r="L856" s="13"/>
      <x:c r="M856" s="13"/>
      <x:c r="N856" s="13"/>
      <x:c r="O856" s="13"/>
      <x:c r="P856" s="13"/>
    </x:row>
    <x:row r="857">
      <x:c r="E857" s="13"/>
      <x:c r="F857" s="13"/>
      <x:c r="G857" s="13"/>
      <x:c r="H857" s="13"/>
      <x:c r="I857" s="13"/>
      <x:c r="J857" s="13"/>
      <x:c r="K857" s="13"/>
      <x:c r="L857" s="13"/>
      <x:c r="M857" s="13"/>
      <x:c r="N857" s="13"/>
      <x:c r="O857" s="13"/>
      <x:c r="P857" s="13"/>
    </x:row>
    <x:row r="858">
      <x:c r="E858" s="13"/>
      <x:c r="F858" s="13"/>
      <x:c r="G858" s="13"/>
      <x:c r="H858" s="13"/>
      <x:c r="I858" s="13"/>
      <x:c r="J858" s="13"/>
      <x:c r="K858" s="13"/>
      <x:c r="L858" s="13"/>
      <x:c r="M858" s="13"/>
      <x:c r="N858" s="13"/>
      <x:c r="O858" s="13"/>
      <x:c r="P858" s="13"/>
    </x:row>
    <x:row r="859">
      <x:c r="E859" s="13"/>
      <x:c r="F859" s="13"/>
      <x:c r="G859" s="13"/>
      <x:c r="H859" s="13"/>
      <x:c r="I859" s="13"/>
      <x:c r="J859" s="13"/>
      <x:c r="K859" s="13"/>
      <x:c r="L859" s="13"/>
      <x:c r="M859" s="13"/>
      <x:c r="N859" s="13"/>
      <x:c r="O859" s="13"/>
      <x:c r="P859" s="13"/>
    </x:row>
    <x:row r="860">
      <x:c r="E860" s="13"/>
      <x:c r="F860" s="13"/>
      <x:c r="G860" s="13"/>
      <x:c r="H860" s="13"/>
      <x:c r="I860" s="13"/>
      <x:c r="J860" s="13"/>
      <x:c r="K860" s="13"/>
      <x:c r="L860" s="13"/>
      <x:c r="M860" s="13"/>
      <x:c r="N860" s="13"/>
      <x:c r="O860" s="13"/>
      <x:c r="P860" s="13"/>
    </x:row>
    <x:row r="861">
      <x:c r="E861" s="13"/>
      <x:c r="F861" s="13"/>
      <x:c r="G861" s="13"/>
      <x:c r="H861" s="13"/>
      <x:c r="I861" s="13"/>
      <x:c r="J861" s="13"/>
      <x:c r="K861" s="13"/>
      <x:c r="L861" s="13"/>
      <x:c r="M861" s="13"/>
      <x:c r="N861" s="13"/>
      <x:c r="O861" s="13"/>
      <x:c r="P861" s="13"/>
    </x:row>
    <x:row r="862">
      <x:c r="E862" s="13"/>
      <x:c r="F862" s="13"/>
      <x:c r="G862" s="13"/>
      <x:c r="H862" s="13"/>
      <x:c r="I862" s="13"/>
      <x:c r="J862" s="13"/>
      <x:c r="K862" s="13"/>
      <x:c r="L862" s="13"/>
      <x:c r="M862" s="13"/>
      <x:c r="N862" s="13"/>
      <x:c r="O862" s="13"/>
      <x:c r="P862" s="13"/>
    </x:row>
    <x:row r="863">
      <x:c r="E863" s="13"/>
      <x:c r="F863" s="13"/>
      <x:c r="G863" s="13"/>
      <x:c r="H863" s="13"/>
      <x:c r="I863" s="13"/>
      <x:c r="J863" s="13"/>
      <x:c r="K863" s="13"/>
      <x:c r="L863" s="13"/>
      <x:c r="M863" s="13"/>
      <x:c r="N863" s="13"/>
      <x:c r="O863" s="13"/>
      <x:c r="P863" s="13"/>
    </x:row>
    <x:row r="864">
      <x:c r="E864" s="13"/>
      <x:c r="F864" s="13"/>
      <x:c r="G864" s="13"/>
      <x:c r="H864" s="13"/>
      <x:c r="I864" s="13"/>
      <x:c r="J864" s="13"/>
      <x:c r="K864" s="13"/>
      <x:c r="L864" s="13"/>
      <x:c r="M864" s="13"/>
      <x:c r="N864" s="13"/>
      <x:c r="O864" s="13"/>
      <x:c r="P864" s="13"/>
    </x:row>
    <x:row r="865">
      <x:c r="E865" s="13"/>
      <x:c r="F865" s="13"/>
      <x:c r="G865" s="13"/>
      <x:c r="H865" s="13"/>
      <x:c r="I865" s="13"/>
      <x:c r="J865" s="13"/>
      <x:c r="K865" s="13"/>
      <x:c r="L865" s="13"/>
      <x:c r="M865" s="13"/>
      <x:c r="N865" s="13"/>
      <x:c r="O865" s="13"/>
      <x:c r="P865" s="13"/>
    </x:row>
    <x:row r="866">
      <x:c r="E866" s="13"/>
      <x:c r="F866" s="13"/>
      <x:c r="G866" s="13"/>
      <x:c r="H866" s="13"/>
      <x:c r="I866" s="13"/>
      <x:c r="J866" s="13"/>
      <x:c r="K866" s="13"/>
      <x:c r="L866" s="13"/>
      <x:c r="M866" s="13"/>
      <x:c r="N866" s="13"/>
      <x:c r="O866" s="13"/>
      <x:c r="P866" s="13"/>
    </x:row>
    <x:row r="867">
      <x:c r="E867" s="13"/>
      <x:c r="F867" s="13"/>
      <x:c r="G867" s="13"/>
      <x:c r="H867" s="13"/>
      <x:c r="I867" s="13"/>
      <x:c r="J867" s="13"/>
      <x:c r="K867" s="13"/>
      <x:c r="L867" s="13"/>
      <x:c r="M867" s="13"/>
      <x:c r="N867" s="13"/>
      <x:c r="O867" s="13"/>
      <x:c r="P867" s="13"/>
    </x:row>
    <x:row r="868">
      <x:c r="E868" s="13"/>
      <x:c r="F868" s="13"/>
      <x:c r="G868" s="13"/>
      <x:c r="H868" s="13"/>
      <x:c r="I868" s="13"/>
      <x:c r="J868" s="13"/>
      <x:c r="K868" s="13"/>
      <x:c r="L868" s="13"/>
      <x:c r="M868" s="13"/>
      <x:c r="N868" s="13"/>
      <x:c r="O868" s="13"/>
      <x:c r="P868" s="13"/>
    </x:row>
    <x:row r="869">
      <x:c r="E869" s="13"/>
      <x:c r="F869" s="13"/>
      <x:c r="G869" s="13"/>
      <x:c r="H869" s="13"/>
      <x:c r="I869" s="13"/>
      <x:c r="J869" s="13"/>
      <x:c r="K869" s="13"/>
      <x:c r="L869" s="13"/>
      <x:c r="M869" s="13"/>
      <x:c r="N869" s="13"/>
      <x:c r="O869" s="13"/>
      <x:c r="P869" s="13"/>
    </x:row>
    <x:row r="870">
      <x:c r="E870" s="13"/>
      <x:c r="F870" s="13"/>
      <x:c r="G870" s="13"/>
      <x:c r="H870" s="13"/>
      <x:c r="I870" s="13"/>
      <x:c r="J870" s="13"/>
      <x:c r="K870" s="13"/>
      <x:c r="L870" s="13"/>
      <x:c r="M870" s="13"/>
      <x:c r="N870" s="13"/>
      <x:c r="O870" s="13"/>
      <x:c r="P870" s="13"/>
    </x:row>
    <x:row r="871">
      <x:c r="E871" s="13"/>
      <x:c r="F871" s="13"/>
      <x:c r="G871" s="13"/>
      <x:c r="H871" s="13"/>
      <x:c r="I871" s="13"/>
      <x:c r="J871" s="13"/>
      <x:c r="K871" s="13"/>
      <x:c r="L871" s="13"/>
      <x:c r="M871" s="13"/>
      <x:c r="N871" s="13"/>
      <x:c r="O871" s="13"/>
      <x:c r="P871" s="13"/>
    </x:row>
    <x:row r="872">
      <x:c r="E872" s="13"/>
      <x:c r="F872" s="13"/>
      <x:c r="G872" s="13"/>
      <x:c r="H872" s="13"/>
      <x:c r="I872" s="13"/>
      <x:c r="J872" s="13"/>
      <x:c r="K872" s="13"/>
      <x:c r="L872" s="13"/>
      <x:c r="M872" s="13"/>
      <x:c r="N872" s="13"/>
      <x:c r="O872" s="13"/>
      <x:c r="P872" s="13"/>
    </x:row>
    <x:row r="873">
      <x:c r="E873" s="13"/>
      <x:c r="F873" s="13"/>
      <x:c r="G873" s="13"/>
      <x:c r="H873" s="13"/>
      <x:c r="I873" s="13"/>
      <x:c r="J873" s="13"/>
      <x:c r="K873" s="13"/>
      <x:c r="L873" s="13"/>
      <x:c r="M873" s="13"/>
      <x:c r="N873" s="13"/>
      <x:c r="O873" s="13"/>
      <x:c r="P873" s="13"/>
    </x:row>
    <x:row r="874">
      <x:c r="E874" s="13"/>
      <x:c r="F874" s="13"/>
      <x:c r="G874" s="13"/>
      <x:c r="H874" s="13"/>
      <x:c r="I874" s="13"/>
      <x:c r="J874" s="13"/>
      <x:c r="K874" s="13"/>
      <x:c r="L874" s="13"/>
      <x:c r="M874" s="13"/>
      <x:c r="N874" s="13"/>
      <x:c r="O874" s="13"/>
      <x:c r="P874" s="13"/>
    </x:row>
    <x:row r="875">
      <x:c r="E875" s="13"/>
      <x:c r="F875" s="13"/>
      <x:c r="G875" s="13"/>
      <x:c r="H875" s="13"/>
      <x:c r="I875" s="13"/>
      <x:c r="J875" s="13"/>
      <x:c r="K875" s="13"/>
      <x:c r="L875" s="13"/>
      <x:c r="M875" s="13"/>
      <x:c r="N875" s="13"/>
      <x:c r="O875" s="13"/>
      <x:c r="P875" s="13"/>
    </x:row>
    <x:row r="876">
      <x:c r="E876" s="13"/>
      <x:c r="F876" s="13"/>
      <x:c r="G876" s="13"/>
      <x:c r="H876" s="13"/>
      <x:c r="I876" s="13"/>
      <x:c r="J876" s="13"/>
      <x:c r="K876" s="13"/>
      <x:c r="L876" s="13"/>
      <x:c r="M876" s="13"/>
      <x:c r="N876" s="13"/>
      <x:c r="O876" s="13"/>
      <x:c r="P876" s="13"/>
    </x:row>
    <x:row r="877">
      <x:c r="E877" s="13"/>
      <x:c r="F877" s="13"/>
      <x:c r="G877" s="13"/>
      <x:c r="H877" s="13"/>
      <x:c r="I877" s="13"/>
      <x:c r="J877" s="13"/>
      <x:c r="K877" s="13"/>
      <x:c r="L877" s="13"/>
      <x:c r="M877" s="13"/>
      <x:c r="N877" s="13"/>
      <x:c r="O877" s="13"/>
      <x:c r="P877" s="13"/>
    </x:row>
    <x:row r="878">
      <x:c r="E878" s="13"/>
      <x:c r="F878" s="13"/>
      <x:c r="G878" s="13"/>
      <x:c r="H878" s="13"/>
      <x:c r="I878" s="13"/>
      <x:c r="J878" s="13"/>
      <x:c r="K878" s="13"/>
      <x:c r="L878" s="13"/>
      <x:c r="M878" s="13"/>
      <x:c r="N878" s="13"/>
      <x:c r="O878" s="13"/>
      <x:c r="P878" s="13"/>
    </x:row>
    <x:row r="879">
      <x:c r="E879" s="13"/>
      <x:c r="F879" s="13"/>
      <x:c r="G879" s="13"/>
      <x:c r="H879" s="13"/>
      <x:c r="I879" s="13"/>
      <x:c r="J879" s="13"/>
      <x:c r="K879" s="13"/>
      <x:c r="L879" s="13"/>
      <x:c r="M879" s="13"/>
      <x:c r="N879" s="13"/>
      <x:c r="O879" s="13"/>
      <x:c r="P879" s="13"/>
    </x:row>
    <x:row r="880">
      <x:c r="E880" s="13"/>
      <x:c r="F880" s="13"/>
      <x:c r="G880" s="13"/>
      <x:c r="H880" s="13"/>
      <x:c r="I880" s="13"/>
      <x:c r="J880" s="13"/>
      <x:c r="K880" s="13"/>
      <x:c r="L880" s="13"/>
      <x:c r="M880" s="13"/>
      <x:c r="N880" s="13"/>
      <x:c r="O880" s="13"/>
      <x:c r="P880" s="13"/>
    </x:row>
    <x:row r="881">
      <x:c r="E881" s="13"/>
      <x:c r="F881" s="13"/>
      <x:c r="G881" s="13"/>
      <x:c r="H881" s="13"/>
      <x:c r="I881" s="13"/>
      <x:c r="J881" s="13"/>
      <x:c r="K881" s="13"/>
      <x:c r="L881" s="13"/>
      <x:c r="M881" s="13"/>
      <x:c r="N881" s="13"/>
      <x:c r="O881" s="13"/>
      <x:c r="P881" s="13"/>
    </x:row>
    <x:row r="882">
      <x:c r="E882" s="13"/>
      <x:c r="F882" s="13"/>
      <x:c r="G882" s="13"/>
      <x:c r="H882" s="13"/>
      <x:c r="I882" s="13"/>
      <x:c r="J882" s="13"/>
      <x:c r="K882" s="13"/>
      <x:c r="L882" s="13"/>
      <x:c r="M882" s="13"/>
      <x:c r="N882" s="13"/>
      <x:c r="O882" s="13"/>
      <x:c r="P882" s="13"/>
    </x:row>
    <x:row r="883">
      <x:c r="E883" s="13"/>
      <x:c r="F883" s="13"/>
      <x:c r="G883" s="13"/>
      <x:c r="H883" s="13"/>
      <x:c r="I883" s="13"/>
      <x:c r="J883" s="13"/>
      <x:c r="K883" s="13"/>
      <x:c r="L883" s="13"/>
      <x:c r="M883" s="13"/>
      <x:c r="N883" s="13"/>
      <x:c r="O883" s="13"/>
      <x:c r="P883" s="13"/>
    </x:row>
    <x:row r="884">
      <x:c r="E884" s="13"/>
      <x:c r="F884" s="13"/>
      <x:c r="G884" s="13"/>
      <x:c r="H884" s="13"/>
      <x:c r="I884" s="13"/>
      <x:c r="J884" s="13"/>
      <x:c r="K884" s="13"/>
      <x:c r="L884" s="13"/>
      <x:c r="M884" s="13"/>
      <x:c r="N884" s="13"/>
      <x:c r="O884" s="13"/>
      <x:c r="P884" s="13"/>
    </x:row>
    <x:row r="885">
      <x:c r="E885" s="13"/>
      <x:c r="F885" s="13"/>
      <x:c r="G885" s="13"/>
      <x:c r="H885" s="13"/>
      <x:c r="I885" s="13"/>
      <x:c r="J885" s="13"/>
      <x:c r="K885" s="13"/>
      <x:c r="L885" s="13"/>
      <x:c r="M885" s="13"/>
      <x:c r="N885" s="13"/>
      <x:c r="O885" s="13"/>
      <x:c r="P885" s="13"/>
    </x:row>
    <x:row r="886">
      <x:c r="E886" s="13"/>
      <x:c r="F886" s="13"/>
      <x:c r="G886" s="13"/>
      <x:c r="H886" s="13"/>
      <x:c r="I886" s="13"/>
      <x:c r="J886" s="13"/>
      <x:c r="K886" s="13"/>
      <x:c r="L886" s="13"/>
      <x:c r="M886" s="13"/>
      <x:c r="N886" s="13"/>
      <x:c r="O886" s="13"/>
      <x:c r="P886" s="13"/>
    </x:row>
    <x:row r="887">
      <x:c r="E887" s="13"/>
      <x:c r="F887" s="13"/>
      <x:c r="G887" s="13"/>
      <x:c r="H887" s="13"/>
      <x:c r="I887" s="13"/>
      <x:c r="J887" s="13"/>
      <x:c r="K887" s="13"/>
      <x:c r="L887" s="13"/>
      <x:c r="M887" s="13"/>
      <x:c r="N887" s="13"/>
      <x:c r="O887" s="13"/>
      <x:c r="P887" s="13"/>
    </x:row>
    <x:row r="888">
      <x:c r="E888" s="13"/>
      <x:c r="F888" s="13"/>
      <x:c r="G888" s="13"/>
      <x:c r="H888" s="13"/>
      <x:c r="I888" s="13"/>
      <x:c r="J888" s="13"/>
      <x:c r="K888" s="13"/>
      <x:c r="L888" s="13"/>
      <x:c r="M888" s="13"/>
      <x:c r="N888" s="13"/>
      <x:c r="O888" s="13"/>
      <x:c r="P888" s="13"/>
    </x:row>
    <x:row r="889">
      <x:c r="E889" s="13"/>
      <x:c r="F889" s="13"/>
      <x:c r="G889" s="13"/>
      <x:c r="H889" s="13"/>
      <x:c r="I889" s="13"/>
      <x:c r="J889" s="13"/>
      <x:c r="K889" s="13"/>
      <x:c r="L889" s="13"/>
      <x:c r="M889" s="13"/>
      <x:c r="N889" s="13"/>
      <x:c r="O889" s="13"/>
      <x:c r="P889" s="13"/>
    </x:row>
    <x:row r="890">
      <x:c r="E890" s="13"/>
      <x:c r="F890" s="13"/>
      <x:c r="G890" s="13"/>
      <x:c r="H890" s="13"/>
      <x:c r="I890" s="13"/>
      <x:c r="J890" s="13"/>
      <x:c r="K890" s="13"/>
      <x:c r="L890" s="13"/>
      <x:c r="M890" s="13"/>
      <x:c r="N890" s="13"/>
      <x:c r="O890" s="13"/>
      <x:c r="P890" s="13"/>
    </x:row>
    <x:row r="891">
      <x:c r="E891" s="13"/>
      <x:c r="F891" s="13"/>
      <x:c r="G891" s="13"/>
      <x:c r="H891" s="13"/>
      <x:c r="I891" s="13"/>
      <x:c r="J891" s="13"/>
      <x:c r="K891" s="13"/>
      <x:c r="L891" s="13"/>
      <x:c r="M891" s="13"/>
      <x:c r="N891" s="13"/>
      <x:c r="O891" s="13"/>
      <x:c r="P891" s="13"/>
    </x:row>
    <x:row r="892">
      <x:c r="E892" s="13"/>
      <x:c r="F892" s="13"/>
      <x:c r="G892" s="13"/>
      <x:c r="H892" s="13"/>
      <x:c r="I892" s="13"/>
      <x:c r="J892" s="13"/>
      <x:c r="K892" s="13"/>
      <x:c r="L892" s="13"/>
      <x:c r="M892" s="13"/>
      <x:c r="N892" s="13"/>
      <x:c r="O892" s="13"/>
      <x:c r="P892" s="13"/>
    </x:row>
    <x:row r="893">
      <x:c r="E893" s="13"/>
      <x:c r="F893" s="13"/>
      <x:c r="G893" s="13"/>
      <x:c r="H893" s="13"/>
      <x:c r="I893" s="13"/>
      <x:c r="J893" s="13"/>
      <x:c r="K893" s="13"/>
      <x:c r="L893" s="13"/>
      <x:c r="M893" s="13"/>
      <x:c r="N893" s="13"/>
      <x:c r="O893" s="13"/>
      <x:c r="P893" s="13"/>
    </x:row>
    <x:row r="894">
      <x:c r="E894" s="13"/>
      <x:c r="F894" s="13"/>
      <x:c r="G894" s="13"/>
      <x:c r="H894" s="13"/>
      <x:c r="I894" s="13"/>
      <x:c r="J894" s="13"/>
      <x:c r="K894" s="13"/>
      <x:c r="L894" s="13"/>
      <x:c r="M894" s="13"/>
      <x:c r="N894" s="13"/>
      <x:c r="O894" s="13"/>
      <x:c r="P894" s="13"/>
    </x:row>
    <x:row r="895">
      <x:c r="E895" s="13"/>
      <x:c r="F895" s="13"/>
      <x:c r="G895" s="13"/>
      <x:c r="H895" s="13"/>
      <x:c r="I895" s="13"/>
      <x:c r="J895" s="13"/>
      <x:c r="K895" s="13"/>
      <x:c r="L895" s="13"/>
      <x:c r="M895" s="13"/>
      <x:c r="N895" s="13"/>
      <x:c r="O895" s="13"/>
      <x:c r="P895" s="13"/>
    </x:row>
    <x:row r="896">
      <x:c r="E896" s="13"/>
      <x:c r="F896" s="13"/>
      <x:c r="G896" s="13"/>
      <x:c r="H896" s="13"/>
      <x:c r="I896" s="13"/>
      <x:c r="J896" s="13"/>
      <x:c r="K896" s="13"/>
      <x:c r="L896" s="13"/>
      <x:c r="M896" s="13"/>
      <x:c r="N896" s="13"/>
      <x:c r="O896" s="13"/>
      <x:c r="P896" s="13"/>
    </x:row>
    <x:row r="897">
      <x:c r="E897" s="13"/>
      <x:c r="F897" s="13"/>
      <x:c r="G897" s="13"/>
      <x:c r="H897" s="13"/>
      <x:c r="I897" s="13"/>
      <x:c r="J897" s="13"/>
      <x:c r="K897" s="13"/>
      <x:c r="L897" s="13"/>
      <x:c r="M897" s="13"/>
      <x:c r="N897" s="13"/>
      <x:c r="O897" s="13"/>
      <x:c r="P897" s="13"/>
    </x:row>
    <x:row r="898">
      <x:c r="E898" s="13"/>
      <x:c r="F898" s="13"/>
      <x:c r="G898" s="13"/>
      <x:c r="H898" s="13"/>
      <x:c r="I898" s="13"/>
      <x:c r="J898" s="13"/>
      <x:c r="K898" s="13"/>
      <x:c r="L898" s="13"/>
      <x:c r="M898" s="13"/>
      <x:c r="N898" s="13"/>
      <x:c r="O898" s="13"/>
      <x:c r="P898" s="13"/>
    </x:row>
    <x:row r="899">
      <x:c r="E899" s="13"/>
      <x:c r="F899" s="13"/>
      <x:c r="G899" s="13"/>
      <x:c r="H899" s="13"/>
      <x:c r="I899" s="13"/>
      <x:c r="J899" s="13"/>
      <x:c r="K899" s="13"/>
      <x:c r="L899" s="13"/>
      <x:c r="M899" s="13"/>
      <x:c r="N899" s="13"/>
      <x:c r="O899" s="13"/>
      <x:c r="P899" s="13"/>
    </x:row>
    <x:row r="900">
      <x:c r="E900" s="13"/>
      <x:c r="F900" s="13"/>
      <x:c r="G900" s="13"/>
      <x:c r="H900" s="13"/>
      <x:c r="I900" s="13"/>
      <x:c r="J900" s="13"/>
      <x:c r="K900" s="13"/>
      <x:c r="L900" s="13"/>
      <x:c r="M900" s="13"/>
      <x:c r="N900" s="13"/>
      <x:c r="O900" s="13"/>
      <x:c r="P900" s="13"/>
    </x:row>
    <x:row r="901">
      <x:c r="E901" s="13"/>
      <x:c r="F901" s="13"/>
      <x:c r="G901" s="13"/>
      <x:c r="H901" s="13"/>
      <x:c r="I901" s="13"/>
      <x:c r="J901" s="13"/>
      <x:c r="K901" s="13"/>
      <x:c r="L901" s="13"/>
      <x:c r="M901" s="13"/>
      <x:c r="N901" s="13"/>
      <x:c r="O901" s="13"/>
      <x:c r="P901" s="13"/>
    </x:row>
    <x:row r="902">
      <x:c r="E902" s="13"/>
      <x:c r="F902" s="13"/>
      <x:c r="G902" s="13"/>
      <x:c r="H902" s="13"/>
      <x:c r="I902" s="13"/>
      <x:c r="J902" s="13"/>
      <x:c r="K902" s="13"/>
      <x:c r="L902" s="13"/>
      <x:c r="M902" s="13"/>
      <x:c r="N902" s="13"/>
      <x:c r="O902" s="13"/>
      <x:c r="P902" s="13"/>
    </x:row>
    <x:row r="903">
      <x:c r="E903" s="13"/>
      <x:c r="F903" s="13"/>
      <x:c r="G903" s="13"/>
      <x:c r="H903" s="13"/>
      <x:c r="I903" s="13"/>
      <x:c r="J903" s="13"/>
      <x:c r="K903" s="13"/>
      <x:c r="L903" s="13"/>
      <x:c r="M903" s="13"/>
      <x:c r="N903" s="13"/>
      <x:c r="O903" s="13"/>
      <x:c r="P903" s="13"/>
    </x:row>
    <x:row r="904">
      <x:c r="E904" s="13"/>
      <x:c r="F904" s="13"/>
      <x:c r="G904" s="13"/>
      <x:c r="H904" s="13"/>
      <x:c r="I904" s="13"/>
      <x:c r="J904" s="13"/>
      <x:c r="K904" s="13"/>
      <x:c r="L904" s="13"/>
      <x:c r="M904" s="13"/>
      <x:c r="N904" s="13"/>
      <x:c r="O904" s="13"/>
      <x:c r="P904" s="13"/>
    </x:row>
    <x:row r="905">
      <x:c r="E905" s="13"/>
      <x:c r="F905" s="13"/>
      <x:c r="G905" s="13"/>
      <x:c r="H905" s="13"/>
      <x:c r="I905" s="13"/>
      <x:c r="J905" s="13"/>
      <x:c r="K905" s="13"/>
      <x:c r="L905" s="13"/>
      <x:c r="M905" s="13"/>
      <x:c r="N905" s="13"/>
      <x:c r="O905" s="13"/>
      <x:c r="P905" s="13"/>
    </x:row>
    <x:row r="906">
      <x:c r="E906" s="13"/>
      <x:c r="F906" s="13"/>
      <x:c r="G906" s="13"/>
      <x:c r="H906" s="13"/>
      <x:c r="I906" s="13"/>
      <x:c r="J906" s="13"/>
      <x:c r="K906" s="13"/>
      <x:c r="L906" s="13"/>
      <x:c r="M906" s="13"/>
      <x:c r="N906" s="13"/>
      <x:c r="O906" s="13"/>
      <x:c r="P906" s="13"/>
    </x:row>
    <x:row r="907">
      <x:c r="E907" s="13"/>
      <x:c r="F907" s="13"/>
      <x:c r="G907" s="13"/>
      <x:c r="H907" s="13"/>
      <x:c r="I907" s="13"/>
      <x:c r="J907" s="13"/>
      <x:c r="K907" s="13"/>
      <x:c r="L907" s="13"/>
      <x:c r="M907" s="13"/>
      <x:c r="N907" s="13"/>
      <x:c r="O907" s="13"/>
      <x:c r="P907" s="13"/>
    </x:row>
    <x:row r="908">
      <x:c r="E908" s="13"/>
      <x:c r="F908" s="13"/>
      <x:c r="G908" s="13"/>
      <x:c r="H908" s="13"/>
      <x:c r="I908" s="13"/>
      <x:c r="J908" s="13"/>
      <x:c r="K908" s="13"/>
      <x:c r="L908" s="13"/>
      <x:c r="M908" s="13"/>
      <x:c r="N908" s="13"/>
      <x:c r="O908" s="13"/>
      <x:c r="P908" s="13"/>
    </x:row>
    <x:row r="909">
      <x:c r="E909" s="13"/>
      <x:c r="F909" s="13"/>
      <x:c r="G909" s="13"/>
      <x:c r="H909" s="13"/>
      <x:c r="I909" s="13"/>
      <x:c r="J909" s="13"/>
      <x:c r="K909" s="13"/>
      <x:c r="L909" s="13"/>
      <x:c r="M909" s="13"/>
      <x:c r="N909" s="13"/>
      <x:c r="O909" s="13"/>
      <x:c r="P909" s="13"/>
    </x:row>
    <x:row r="910">
      <x:c r="E910" s="13"/>
      <x:c r="F910" s="13"/>
      <x:c r="G910" s="13"/>
      <x:c r="H910" s="13"/>
      <x:c r="I910" s="13"/>
      <x:c r="J910" s="13"/>
      <x:c r="K910" s="13"/>
      <x:c r="L910" s="13"/>
      <x:c r="M910" s="13"/>
      <x:c r="N910" s="13"/>
      <x:c r="O910" s="13"/>
      <x:c r="P910" s="13"/>
    </x:row>
    <x:row r="911">
      <x:c r="E911" s="13"/>
      <x:c r="F911" s="13"/>
      <x:c r="G911" s="13"/>
      <x:c r="H911" s="13"/>
      <x:c r="I911" s="13"/>
      <x:c r="J911" s="13"/>
      <x:c r="K911" s="13"/>
      <x:c r="L911" s="13"/>
      <x:c r="M911" s="13"/>
      <x:c r="N911" s="13"/>
      <x:c r="O911" s="13"/>
      <x:c r="P911" s="13"/>
    </x:row>
    <x:row r="912">
      <x:c r="E912" s="13"/>
      <x:c r="F912" s="13"/>
      <x:c r="G912" s="13"/>
      <x:c r="H912" s="13"/>
      <x:c r="I912" s="13"/>
      <x:c r="J912" s="13"/>
      <x:c r="K912" s="13"/>
      <x:c r="L912" s="13"/>
      <x:c r="M912" s="13"/>
      <x:c r="N912" s="13"/>
      <x:c r="O912" s="13"/>
      <x:c r="P912" s="13"/>
    </x:row>
    <x:row r="913">
      <x:c r="E913" s="13"/>
      <x:c r="F913" s="13"/>
      <x:c r="G913" s="13"/>
      <x:c r="H913" s="13"/>
      <x:c r="I913" s="13"/>
      <x:c r="J913" s="13"/>
      <x:c r="K913" s="13"/>
      <x:c r="L913" s="13"/>
      <x:c r="M913" s="13"/>
      <x:c r="N913" s="13"/>
      <x:c r="O913" s="13"/>
      <x:c r="P913" s="13"/>
    </x:row>
    <x:row r="914">
      <x:c r="E914" s="13"/>
      <x:c r="F914" s="13"/>
      <x:c r="G914" s="13"/>
      <x:c r="H914" s="13"/>
      <x:c r="I914" s="13"/>
      <x:c r="J914" s="13"/>
      <x:c r="K914" s="13"/>
      <x:c r="L914" s="13"/>
      <x:c r="M914" s="13"/>
      <x:c r="N914" s="13"/>
      <x:c r="O914" s="13"/>
      <x:c r="P914" s="13"/>
    </x:row>
    <x:row r="915">
      <x:c r="E915" s="13"/>
      <x:c r="F915" s="13"/>
      <x:c r="G915" s="13"/>
      <x:c r="H915" s="13"/>
      <x:c r="I915" s="13"/>
      <x:c r="J915" s="13"/>
      <x:c r="K915" s="13"/>
      <x:c r="L915" s="13"/>
      <x:c r="M915" s="13"/>
      <x:c r="N915" s="13"/>
      <x:c r="O915" s="13"/>
      <x:c r="P915" s="13"/>
    </x:row>
    <x:row r="916">
      <x:c r="E916" s="13"/>
      <x:c r="F916" s="13"/>
      <x:c r="G916" s="13"/>
      <x:c r="H916" s="13"/>
      <x:c r="I916" s="13"/>
      <x:c r="J916" s="13"/>
      <x:c r="K916" s="13"/>
      <x:c r="L916" s="13"/>
      <x:c r="M916" s="13"/>
      <x:c r="N916" s="13"/>
      <x:c r="O916" s="13"/>
      <x:c r="P916" s="13"/>
    </x:row>
    <x:row r="917">
      <x:c r="E917" s="13"/>
      <x:c r="F917" s="13"/>
      <x:c r="G917" s="13"/>
      <x:c r="H917" s="13"/>
      <x:c r="I917" s="13"/>
      <x:c r="J917" s="13"/>
      <x:c r="K917" s="13"/>
      <x:c r="L917" s="13"/>
      <x:c r="M917" s="13"/>
      <x:c r="N917" s="13"/>
      <x:c r="O917" s="13"/>
      <x:c r="P917" s="13"/>
    </x:row>
    <x:row r="918">
      <x:c r="E918" s="13"/>
      <x:c r="F918" s="13"/>
      <x:c r="G918" s="13"/>
      <x:c r="H918" s="13"/>
      <x:c r="I918" s="13"/>
      <x:c r="J918" s="13"/>
      <x:c r="K918" s="13"/>
      <x:c r="L918" s="13"/>
      <x:c r="M918" s="13"/>
      <x:c r="N918" s="13"/>
      <x:c r="O918" s="13"/>
      <x:c r="P918" s="13"/>
    </x:row>
    <x:row r="919">
      <x:c r="E919" s="13"/>
      <x:c r="F919" s="13"/>
      <x:c r="G919" s="13"/>
      <x:c r="H919" s="13"/>
      <x:c r="I919" s="13"/>
      <x:c r="J919" s="13"/>
      <x:c r="K919" s="13"/>
      <x:c r="L919" s="13"/>
      <x:c r="M919" s="13"/>
      <x:c r="N919" s="13"/>
      <x:c r="O919" s="13"/>
      <x:c r="P919" s="13"/>
    </x:row>
    <x:row r="920">
      <x:c r="E920" s="13"/>
      <x:c r="F920" s="13"/>
      <x:c r="G920" s="13"/>
      <x:c r="H920" s="13"/>
      <x:c r="I920" s="13"/>
      <x:c r="J920" s="13"/>
      <x:c r="K920" s="13"/>
      <x:c r="L920" s="13"/>
      <x:c r="M920" s="13"/>
      <x:c r="N920" s="13"/>
      <x:c r="O920" s="13"/>
      <x:c r="P920" s="13"/>
    </x:row>
    <x:row r="921">
      <x:c r="E921" s="13"/>
      <x:c r="F921" s="13"/>
      <x:c r="G921" s="13"/>
      <x:c r="H921" s="13"/>
      <x:c r="I921" s="13"/>
      <x:c r="J921" s="13"/>
      <x:c r="K921" s="13"/>
      <x:c r="L921" s="13"/>
      <x:c r="M921" s="13"/>
      <x:c r="N921" s="13"/>
      <x:c r="O921" s="13"/>
      <x:c r="P921" s="13"/>
    </x:row>
    <x:row r="922">
      <x:c r="E922" s="13"/>
      <x:c r="F922" s="13"/>
      <x:c r="G922" s="13"/>
      <x:c r="H922" s="13"/>
      <x:c r="I922" s="13"/>
      <x:c r="J922" s="13"/>
      <x:c r="K922" s="13"/>
      <x:c r="L922" s="13"/>
      <x:c r="M922" s="13"/>
      <x:c r="N922" s="13"/>
      <x:c r="O922" s="13"/>
      <x:c r="P922" s="13"/>
    </x:row>
    <x:row r="923">
      <x:c r="E923" s="13"/>
      <x:c r="F923" s="13"/>
      <x:c r="G923" s="13"/>
      <x:c r="H923" s="13"/>
      <x:c r="I923" s="13"/>
      <x:c r="J923" s="13"/>
      <x:c r="K923" s="13"/>
      <x:c r="L923" s="13"/>
      <x:c r="M923" s="13"/>
      <x:c r="N923" s="13"/>
      <x:c r="O923" s="13"/>
      <x:c r="P923" s="13"/>
    </x:row>
    <x:row r="924">
      <x:c r="E924" s="13"/>
      <x:c r="F924" s="13"/>
      <x:c r="G924" s="13"/>
      <x:c r="H924" s="13"/>
      <x:c r="I924" s="13"/>
      <x:c r="J924" s="13"/>
      <x:c r="K924" s="13"/>
      <x:c r="L924" s="13"/>
      <x:c r="M924" s="13"/>
      <x:c r="N924" s="13"/>
      <x:c r="O924" s="13"/>
      <x:c r="P924" s="13"/>
    </x:row>
    <x:row r="925">
      <x:c r="E925" s="13"/>
      <x:c r="F925" s="13"/>
      <x:c r="G925" s="13"/>
      <x:c r="H925" s="13"/>
      <x:c r="I925" s="13"/>
      <x:c r="J925" s="13"/>
      <x:c r="K925" s="13"/>
      <x:c r="L925" s="13"/>
      <x:c r="M925" s="13"/>
      <x:c r="N925" s="13"/>
      <x:c r="O925" s="13"/>
      <x:c r="P925" s="13"/>
    </x:row>
    <x:row r="926">
      <x:c r="E926" s="13"/>
      <x:c r="F926" s="13"/>
      <x:c r="G926" s="13"/>
      <x:c r="H926" s="13"/>
      <x:c r="I926" s="13"/>
      <x:c r="J926" s="13"/>
      <x:c r="K926" s="13"/>
      <x:c r="L926" s="13"/>
      <x:c r="M926" s="13"/>
      <x:c r="N926" s="13"/>
      <x:c r="O926" s="13"/>
      <x:c r="P926" s="13"/>
    </x:row>
    <x:row r="927">
      <x:c r="E927" s="13"/>
      <x:c r="F927" s="13"/>
      <x:c r="G927" s="13"/>
      <x:c r="H927" s="13"/>
      <x:c r="I927" s="13"/>
      <x:c r="J927" s="13"/>
      <x:c r="K927" s="13"/>
      <x:c r="L927" s="13"/>
      <x:c r="M927" s="13"/>
      <x:c r="N927" s="13"/>
      <x:c r="O927" s="13"/>
      <x:c r="P927" s="13"/>
    </x:row>
    <x:row r="928">
      <x:c r="E928" s="13"/>
      <x:c r="F928" s="13"/>
      <x:c r="G928" s="13"/>
      <x:c r="H928" s="13"/>
      <x:c r="I928" s="13"/>
      <x:c r="J928" s="13"/>
      <x:c r="K928" s="13"/>
      <x:c r="L928" s="13"/>
      <x:c r="M928" s="13"/>
      <x:c r="N928" s="13"/>
      <x:c r="O928" s="13"/>
      <x:c r="P928" s="13"/>
    </x:row>
    <x:row r="929">
      <x:c r="E929" s="13"/>
      <x:c r="F929" s="13"/>
      <x:c r="G929" s="13"/>
      <x:c r="H929" s="13"/>
      <x:c r="I929" s="13"/>
      <x:c r="J929" s="13"/>
      <x:c r="K929" s="13"/>
      <x:c r="L929" s="13"/>
      <x:c r="M929" s="13"/>
      <x:c r="N929" s="13"/>
      <x:c r="O929" s="13"/>
      <x:c r="P929" s="13"/>
    </x:row>
    <x:row r="930">
      <x:c r="E930" s="13"/>
      <x:c r="F930" s="13"/>
      <x:c r="G930" s="13"/>
      <x:c r="H930" s="13"/>
      <x:c r="I930" s="13"/>
      <x:c r="J930" s="13"/>
      <x:c r="K930" s="13"/>
      <x:c r="L930" s="13"/>
      <x:c r="M930" s="13"/>
      <x:c r="N930" s="13"/>
      <x:c r="O930" s="13"/>
      <x:c r="P930" s="13"/>
    </x:row>
    <x:row r="931">
      <x:c r="E931" s="13"/>
      <x:c r="F931" s="13"/>
      <x:c r="G931" s="13"/>
      <x:c r="H931" s="13"/>
      <x:c r="I931" s="13"/>
      <x:c r="J931" s="13"/>
      <x:c r="K931" s="13"/>
      <x:c r="L931" s="13"/>
      <x:c r="M931" s="13"/>
      <x:c r="N931" s="13"/>
      <x:c r="O931" s="13"/>
      <x:c r="P931" s="13"/>
    </x:row>
    <x:row r="932">
      <x:c r="E932" s="13"/>
      <x:c r="F932" s="13"/>
      <x:c r="G932" s="13"/>
      <x:c r="H932" s="13"/>
      <x:c r="I932" s="13"/>
      <x:c r="J932" s="13"/>
      <x:c r="K932" s="13"/>
      <x:c r="L932" s="13"/>
      <x:c r="M932" s="13"/>
      <x:c r="N932" s="13"/>
      <x:c r="O932" s="13"/>
      <x:c r="P932" s="13"/>
    </x:row>
    <x:row r="933">
      <x:c r="E933" s="13"/>
      <x:c r="F933" s="13"/>
      <x:c r="G933" s="13"/>
      <x:c r="H933" s="13"/>
      <x:c r="I933" s="13"/>
      <x:c r="J933" s="13"/>
      <x:c r="K933" s="13"/>
      <x:c r="L933" s="13"/>
      <x:c r="M933" s="13"/>
      <x:c r="N933" s="13"/>
      <x:c r="O933" s="13"/>
      <x:c r="P933" s="13"/>
    </x:row>
    <x:row r="934">
      <x:c r="E934" s="13"/>
      <x:c r="F934" s="13"/>
      <x:c r="G934" s="13"/>
      <x:c r="H934" s="13"/>
      <x:c r="I934" s="13"/>
      <x:c r="J934" s="13"/>
      <x:c r="K934" s="13"/>
      <x:c r="L934" s="13"/>
      <x:c r="M934" s="13"/>
      <x:c r="N934" s="13"/>
      <x:c r="O934" s="13"/>
      <x:c r="P934" s="13"/>
    </x:row>
    <x:row r="935">
      <x:c r="E935" s="13"/>
      <x:c r="F935" s="13"/>
      <x:c r="G935" s="13"/>
      <x:c r="H935" s="13"/>
      <x:c r="I935" s="13"/>
      <x:c r="J935" s="13"/>
      <x:c r="K935" s="13"/>
      <x:c r="L935" s="13"/>
      <x:c r="M935" s="13"/>
      <x:c r="N935" s="13"/>
      <x:c r="O935" s="13"/>
      <x:c r="P935" s="13"/>
    </x:row>
    <x:row r="936">
      <x:c r="E936" s="13"/>
      <x:c r="F936" s="13"/>
      <x:c r="G936" s="13"/>
      <x:c r="H936" s="13"/>
      <x:c r="I936" s="13"/>
      <x:c r="J936" s="13"/>
      <x:c r="K936" s="13"/>
      <x:c r="L936" s="13"/>
      <x:c r="M936" s="13"/>
      <x:c r="N936" s="13"/>
      <x:c r="O936" s="13"/>
      <x:c r="P936" s="13"/>
    </x:row>
    <x:row r="937">
      <x:c r="E937" s="13"/>
      <x:c r="F937" s="13"/>
      <x:c r="G937" s="13"/>
      <x:c r="H937" s="13"/>
      <x:c r="I937" s="13"/>
      <x:c r="J937" s="13"/>
      <x:c r="K937" s="13"/>
      <x:c r="L937" s="13"/>
      <x:c r="M937" s="13"/>
      <x:c r="N937" s="13"/>
      <x:c r="O937" s="13"/>
      <x:c r="P937" s="13"/>
    </x:row>
    <x:row r="938">
      <x:c r="E938" s="13"/>
      <x:c r="F938" s="13"/>
      <x:c r="G938" s="13"/>
      <x:c r="H938" s="13"/>
      <x:c r="I938" s="13"/>
      <x:c r="J938" s="13"/>
      <x:c r="K938" s="13"/>
      <x:c r="L938" s="13"/>
      <x:c r="M938" s="13"/>
      <x:c r="N938" s="13"/>
      <x:c r="O938" s="13"/>
      <x:c r="P938" s="13"/>
    </x:row>
    <x:row r="939">
      <x:c r="E939" s="13"/>
      <x:c r="F939" s="13"/>
      <x:c r="G939" s="13"/>
      <x:c r="H939" s="13"/>
      <x:c r="I939" s="13"/>
      <x:c r="J939" s="13"/>
      <x:c r="K939" s="13"/>
      <x:c r="L939" s="13"/>
      <x:c r="M939" s="13"/>
      <x:c r="N939" s="13"/>
      <x:c r="O939" s="13"/>
      <x:c r="P939" s="13"/>
    </x:row>
    <x:row r="940">
      <x:c r="E940" s="13"/>
      <x:c r="F940" s="13"/>
      <x:c r="G940" s="13"/>
      <x:c r="H940" s="13"/>
      <x:c r="I940" s="13"/>
      <x:c r="J940" s="13"/>
      <x:c r="K940" s="13"/>
      <x:c r="L940" s="13"/>
      <x:c r="M940" s="13"/>
      <x:c r="N940" s="13"/>
      <x:c r="O940" s="13"/>
      <x:c r="P940" s="13"/>
    </x:row>
    <x:row r="941">
      <x:c r="E941" s="13"/>
      <x:c r="F941" s="13"/>
      <x:c r="G941" s="13"/>
      <x:c r="H941" s="13"/>
      <x:c r="I941" s="13"/>
      <x:c r="J941" s="13"/>
      <x:c r="K941" s="13"/>
      <x:c r="L941" s="13"/>
      <x:c r="M941" s="13"/>
      <x:c r="N941" s="13"/>
      <x:c r="O941" s="13"/>
      <x:c r="P941" s="13"/>
    </x:row>
    <x:row r="942">
      <x:c r="E942" s="13"/>
      <x:c r="F942" s="13"/>
      <x:c r="G942" s="13"/>
      <x:c r="H942" s="13"/>
      <x:c r="I942" s="13"/>
      <x:c r="J942" s="13"/>
      <x:c r="K942" s="13"/>
      <x:c r="L942" s="13"/>
      <x:c r="M942" s="13"/>
      <x:c r="N942" s="13"/>
      <x:c r="O942" s="13"/>
      <x:c r="P942" s="13"/>
    </x:row>
    <x:row r="943">
      <x:c r="E943" s="13"/>
      <x:c r="F943" s="13"/>
      <x:c r="G943" s="13"/>
      <x:c r="H943" s="13"/>
      <x:c r="I943" s="13"/>
      <x:c r="J943" s="13"/>
      <x:c r="K943" s="13"/>
      <x:c r="L943" s="13"/>
      <x:c r="M943" s="13"/>
      <x:c r="N943" s="13"/>
      <x:c r="O943" s="13"/>
      <x:c r="P943" s="13"/>
    </x:row>
    <x:row r="944">
      <x:c r="E944" s="13"/>
      <x:c r="F944" s="13"/>
      <x:c r="G944" s="13"/>
      <x:c r="H944" s="13"/>
      <x:c r="I944" s="13"/>
      <x:c r="J944" s="13"/>
      <x:c r="K944" s="13"/>
      <x:c r="L944" s="13"/>
      <x:c r="M944" s="13"/>
      <x:c r="N944" s="13"/>
      <x:c r="O944" s="13"/>
      <x:c r="P944" s="13"/>
    </x:row>
    <x:row r="945">
      <x:c r="E945" s="13"/>
      <x:c r="F945" s="13"/>
      <x:c r="G945" s="13"/>
      <x:c r="H945" s="13"/>
      <x:c r="I945" s="13"/>
      <x:c r="J945" s="13"/>
      <x:c r="K945" s="13"/>
      <x:c r="L945" s="13"/>
      <x:c r="M945" s="13"/>
      <x:c r="N945" s="13"/>
      <x:c r="O945" s="13"/>
      <x:c r="P945" s="13"/>
    </x:row>
    <x:row r="946">
      <x:c r="E946" s="13"/>
      <x:c r="F946" s="13"/>
      <x:c r="G946" s="13"/>
      <x:c r="H946" s="13"/>
      <x:c r="I946" s="13"/>
      <x:c r="J946" s="13"/>
      <x:c r="K946" s="13"/>
      <x:c r="L946" s="13"/>
      <x:c r="M946" s="13"/>
      <x:c r="N946" s="13"/>
      <x:c r="O946" s="13"/>
      <x:c r="P946" s="13"/>
    </x:row>
    <x:row r="947">
      <x:c r="E947" s="13"/>
      <x:c r="F947" s="13"/>
      <x:c r="G947" s="13"/>
      <x:c r="H947" s="13"/>
      <x:c r="I947" s="13"/>
      <x:c r="J947" s="13"/>
      <x:c r="K947" s="13"/>
      <x:c r="L947" s="13"/>
      <x:c r="M947" s="13"/>
      <x:c r="N947" s="13"/>
      <x:c r="O947" s="13"/>
      <x:c r="P947" s="13"/>
    </x:row>
    <x:row r="948">
      <x:c r="E948" s="13"/>
      <x:c r="F948" s="13"/>
      <x:c r="G948" s="13"/>
      <x:c r="H948" s="13"/>
      <x:c r="I948" s="13"/>
      <x:c r="J948" s="13"/>
      <x:c r="K948" s="13"/>
      <x:c r="L948" s="13"/>
      <x:c r="M948" s="13"/>
      <x:c r="N948" s="13"/>
      <x:c r="O948" s="13"/>
      <x:c r="P948" s="13"/>
    </x:row>
    <x:row r="949">
      <x:c r="E949" s="13"/>
      <x:c r="F949" s="13"/>
      <x:c r="G949" s="13"/>
      <x:c r="H949" s="13"/>
      <x:c r="I949" s="13"/>
      <x:c r="J949" s="13"/>
      <x:c r="K949" s="13"/>
      <x:c r="L949" s="13"/>
      <x:c r="M949" s="13"/>
      <x:c r="N949" s="13"/>
      <x:c r="O949" s="13"/>
      <x:c r="P949" s="13"/>
    </x:row>
    <x:row r="950">
      <x:c r="E950" s="13"/>
      <x:c r="F950" s="13"/>
      <x:c r="G950" s="13"/>
      <x:c r="H950" s="13"/>
      <x:c r="I950" s="13"/>
      <x:c r="J950" s="13"/>
      <x:c r="K950" s="13"/>
      <x:c r="L950" s="13"/>
      <x:c r="M950" s="13"/>
      <x:c r="N950" s="13"/>
      <x:c r="O950" s="13"/>
      <x:c r="P950" s="13"/>
    </x:row>
    <x:row r="951">
      <x:c r="E951" s="13"/>
      <x:c r="F951" s="13"/>
      <x:c r="G951" s="13"/>
      <x:c r="H951" s="13"/>
      <x:c r="I951" s="13"/>
      <x:c r="J951" s="13"/>
      <x:c r="K951" s="13"/>
      <x:c r="L951" s="13"/>
      <x:c r="M951" s="13"/>
      <x:c r="N951" s="13"/>
      <x:c r="O951" s="13"/>
      <x:c r="P951" s="13"/>
    </x:row>
    <x:row r="952">
      <x:c r="E952" s="13"/>
      <x:c r="F952" s="13"/>
      <x:c r="G952" s="13"/>
      <x:c r="H952" s="13"/>
      <x:c r="I952" s="13"/>
      <x:c r="J952" s="13"/>
      <x:c r="K952" s="13"/>
      <x:c r="L952" s="13"/>
      <x:c r="M952" s="13"/>
      <x:c r="N952" s="13"/>
      <x:c r="O952" s="13"/>
      <x:c r="P952" s="13"/>
    </x:row>
    <x:row r="953">
      <x:c r="E953" s="13"/>
      <x:c r="F953" s="13"/>
      <x:c r="G953" s="13"/>
      <x:c r="H953" s="13"/>
      <x:c r="I953" s="13"/>
      <x:c r="J953" s="13"/>
      <x:c r="K953" s="13"/>
      <x:c r="L953" s="13"/>
      <x:c r="M953" s="13"/>
      <x:c r="N953" s="13"/>
      <x:c r="O953" s="13"/>
      <x:c r="P953" s="13"/>
    </x:row>
    <x:row r="954">
      <x:c r="E954" s="13"/>
      <x:c r="F954" s="13"/>
      <x:c r="G954" s="13"/>
      <x:c r="H954" s="13"/>
      <x:c r="I954" s="13"/>
      <x:c r="J954" s="13"/>
      <x:c r="K954" s="13"/>
      <x:c r="L954" s="13"/>
      <x:c r="M954" s="13"/>
      <x:c r="N954" s="13"/>
      <x:c r="O954" s="13"/>
      <x:c r="P954" s="13"/>
    </x:row>
    <x:row r="955">
      <x:c r="E955" s="13"/>
      <x:c r="F955" s="13"/>
      <x:c r="G955" s="13"/>
      <x:c r="H955" s="13"/>
      <x:c r="I955" s="13"/>
      <x:c r="J955" s="13"/>
      <x:c r="K955" s="13"/>
      <x:c r="L955" s="13"/>
      <x:c r="M955" s="13"/>
      <x:c r="N955" s="13"/>
      <x:c r="O955" s="13"/>
      <x:c r="P955" s="13"/>
    </x:row>
    <x:row r="956">
      <x:c r="E956" s="13"/>
      <x:c r="F956" s="13"/>
      <x:c r="G956" s="13"/>
      <x:c r="H956" s="13"/>
      <x:c r="I956" s="13"/>
      <x:c r="J956" s="13"/>
      <x:c r="K956" s="13"/>
      <x:c r="L956" s="13"/>
      <x:c r="M956" s="13"/>
      <x:c r="N956" s="13"/>
      <x:c r="O956" s="13"/>
      <x:c r="P956" s="13"/>
    </x:row>
    <x:row r="957">
      <x:c r="E957" s="13"/>
      <x:c r="F957" s="13"/>
      <x:c r="G957" s="13"/>
      <x:c r="H957" s="13"/>
      <x:c r="I957" s="13"/>
      <x:c r="J957" s="13"/>
      <x:c r="K957" s="13"/>
      <x:c r="L957" s="13"/>
      <x:c r="M957" s="13"/>
      <x:c r="N957" s="13"/>
      <x:c r="O957" s="13"/>
      <x:c r="P957" s="13"/>
    </x:row>
    <x:row r="958">
      <x:c r="E958" s="13"/>
      <x:c r="F958" s="13"/>
      <x:c r="G958" s="13"/>
      <x:c r="H958" s="13"/>
      <x:c r="I958" s="13"/>
      <x:c r="J958" s="13"/>
      <x:c r="K958" s="13"/>
      <x:c r="L958" s="13"/>
      <x:c r="M958" s="13"/>
      <x:c r="N958" s="13"/>
      <x:c r="O958" s="13"/>
      <x:c r="P958" s="13"/>
    </x:row>
    <x:row r="959">
      <x:c r="E959" s="13"/>
      <x:c r="F959" s="13"/>
      <x:c r="G959" s="13"/>
      <x:c r="H959" s="13"/>
      <x:c r="I959" s="13"/>
      <x:c r="J959" s="13"/>
      <x:c r="K959" s="13"/>
      <x:c r="L959" s="13"/>
      <x:c r="M959" s="13"/>
      <x:c r="N959" s="13"/>
      <x:c r="O959" s="13"/>
      <x:c r="P959" s="13"/>
    </x:row>
    <x:row r="960">
      <x:c r="E960" s="13"/>
      <x:c r="F960" s="13"/>
      <x:c r="G960" s="13"/>
      <x:c r="H960" s="13"/>
      <x:c r="I960" s="13"/>
      <x:c r="J960" s="13"/>
      <x:c r="K960" s="13"/>
      <x:c r="L960" s="13"/>
      <x:c r="M960" s="13"/>
      <x:c r="N960" s="13"/>
      <x:c r="O960" s="13"/>
      <x:c r="P960" s="13"/>
    </x:row>
    <x:row r="961">
      <x:c r="E961" s="13"/>
      <x:c r="F961" s="13"/>
      <x:c r="G961" s="13"/>
      <x:c r="H961" s="13"/>
      <x:c r="I961" s="13"/>
      <x:c r="J961" s="13"/>
      <x:c r="K961" s="13"/>
      <x:c r="L961" s="13"/>
      <x:c r="M961" s="13"/>
      <x:c r="N961" s="13"/>
      <x:c r="O961" s="13"/>
      <x:c r="P961" s="13"/>
    </x:row>
    <x:row r="962">
      <x:c r="E962" s="13"/>
      <x:c r="F962" s="13"/>
      <x:c r="G962" s="13"/>
      <x:c r="H962" s="13"/>
      <x:c r="I962" s="13"/>
      <x:c r="J962" s="13"/>
      <x:c r="K962" s="13"/>
      <x:c r="L962" s="13"/>
      <x:c r="M962" s="13"/>
      <x:c r="N962" s="13"/>
      <x:c r="O962" s="13"/>
      <x:c r="P962" s="13"/>
    </x:row>
    <x:row r="963">
      <x:c r="E963" s="13"/>
      <x:c r="F963" s="13"/>
      <x:c r="G963" s="13"/>
      <x:c r="H963" s="13"/>
      <x:c r="I963" s="13"/>
      <x:c r="J963" s="13"/>
      <x:c r="K963" s="13"/>
      <x:c r="L963" s="13"/>
      <x:c r="M963" s="13"/>
      <x:c r="N963" s="13"/>
      <x:c r="O963" s="13"/>
      <x:c r="P963" s="13"/>
    </x:row>
    <x:row r="964">
      <x:c r="E964" s="13"/>
      <x:c r="F964" s="13"/>
      <x:c r="G964" s="13"/>
      <x:c r="H964" s="13"/>
      <x:c r="I964" s="13"/>
      <x:c r="J964" s="13"/>
      <x:c r="K964" s="13"/>
      <x:c r="L964" s="13"/>
      <x:c r="M964" s="13"/>
      <x:c r="N964" s="13"/>
      <x:c r="O964" s="13"/>
      <x:c r="P964" s="13"/>
    </x:row>
    <x:row r="965">
      <x:c r="E965" s="13"/>
      <x:c r="F965" s="13"/>
      <x:c r="G965" s="13"/>
      <x:c r="H965" s="13"/>
      <x:c r="I965" s="13"/>
      <x:c r="J965" s="13"/>
      <x:c r="K965" s="13"/>
      <x:c r="L965" s="13"/>
      <x:c r="M965" s="13"/>
      <x:c r="N965" s="13"/>
      <x:c r="O965" s="13"/>
      <x:c r="P965" s="13"/>
    </x:row>
    <x:row r="966">
      <x:c r="E966" s="13"/>
      <x:c r="F966" s="13"/>
      <x:c r="G966" s="13"/>
      <x:c r="H966" s="13"/>
      <x:c r="I966" s="13"/>
      <x:c r="J966" s="13"/>
      <x:c r="K966" s="13"/>
      <x:c r="L966" s="13"/>
      <x:c r="M966" s="13"/>
      <x:c r="N966" s="13"/>
      <x:c r="O966" s="13"/>
      <x:c r="P966" s="13"/>
    </x:row>
    <x:row r="967">
      <x:c r="E967" s="13"/>
      <x:c r="F967" s="13"/>
      <x:c r="G967" s="13"/>
      <x:c r="H967" s="13"/>
      <x:c r="I967" s="13"/>
      <x:c r="J967" s="13"/>
      <x:c r="K967" s="13"/>
      <x:c r="L967" s="13"/>
      <x:c r="M967" s="13"/>
      <x:c r="N967" s="13"/>
      <x:c r="O967" s="13"/>
      <x:c r="P967" s="13"/>
    </x:row>
    <x:row r="968">
      <x:c r="E968" s="13"/>
      <x:c r="F968" s="13"/>
      <x:c r="G968" s="13"/>
      <x:c r="H968" s="13"/>
      <x:c r="I968" s="13"/>
      <x:c r="J968" s="13"/>
      <x:c r="K968" s="13"/>
      <x:c r="L968" s="13"/>
      <x:c r="M968" s="13"/>
      <x:c r="N968" s="13"/>
      <x:c r="O968" s="13"/>
      <x:c r="P968" s="13"/>
    </x:row>
    <x:row r="969">
      <x:c r="E969" s="13"/>
      <x:c r="F969" s="13"/>
      <x:c r="G969" s="13"/>
      <x:c r="H969" s="13"/>
      <x:c r="I969" s="13"/>
      <x:c r="J969" s="13"/>
      <x:c r="K969" s="13"/>
      <x:c r="L969" s="13"/>
      <x:c r="M969" s="13"/>
      <x:c r="N969" s="13"/>
      <x:c r="O969" s="13"/>
      <x:c r="P969" s="13"/>
    </x:row>
    <x:row r="970">
      <x:c r="E970" s="13"/>
      <x:c r="F970" s="13"/>
      <x:c r="G970" s="13"/>
      <x:c r="H970" s="13"/>
      <x:c r="I970" s="13"/>
      <x:c r="J970" s="13"/>
      <x:c r="K970" s="13"/>
      <x:c r="L970" s="13"/>
      <x:c r="M970" s="13"/>
      <x:c r="N970" s="13"/>
      <x:c r="O970" s="13"/>
      <x:c r="P970" s="13"/>
    </x:row>
    <x:row r="971">
      <x:c r="E971" s="13"/>
      <x:c r="F971" s="13"/>
      <x:c r="G971" s="13"/>
      <x:c r="H971" s="13"/>
      <x:c r="I971" s="13"/>
      <x:c r="J971" s="13"/>
      <x:c r="K971" s="13"/>
      <x:c r="L971" s="13"/>
      <x:c r="M971" s="13"/>
      <x:c r="N971" s="13"/>
      <x:c r="O971" s="13"/>
      <x:c r="P971" s="13"/>
    </x:row>
    <x:row r="972">
      <x:c r="E972" s="13"/>
      <x:c r="F972" s="13"/>
      <x:c r="G972" s="13"/>
      <x:c r="H972" s="13"/>
      <x:c r="I972" s="13"/>
      <x:c r="J972" s="13"/>
      <x:c r="K972" s="13"/>
      <x:c r="L972" s="13"/>
      <x:c r="M972" s="13"/>
      <x:c r="N972" s="13"/>
      <x:c r="O972" s="13"/>
      <x:c r="P972" s="13"/>
    </x:row>
    <x:row r="973">
      <x:c r="E973" s="13"/>
      <x:c r="F973" s="13"/>
      <x:c r="G973" s="13"/>
      <x:c r="H973" s="13"/>
      <x:c r="I973" s="13"/>
      <x:c r="J973" s="13"/>
      <x:c r="K973" s="13"/>
      <x:c r="L973" s="13"/>
      <x:c r="M973" s="13"/>
      <x:c r="N973" s="13"/>
      <x:c r="O973" s="13"/>
      <x:c r="P973" s="13"/>
    </x:row>
    <x:row r="974">
      <x:c r="E974" s="13"/>
      <x:c r="F974" s="13"/>
      <x:c r="G974" s="13"/>
      <x:c r="H974" s="13"/>
      <x:c r="I974" s="13"/>
      <x:c r="J974" s="13"/>
      <x:c r="K974" s="13"/>
      <x:c r="L974" s="13"/>
      <x:c r="M974" s="13"/>
      <x:c r="N974" s="13"/>
      <x:c r="O974" s="13"/>
      <x:c r="P974" s="13"/>
    </x:row>
    <x:row r="975">
      <x:c r="E975" s="13"/>
      <x:c r="F975" s="13"/>
      <x:c r="G975" s="13"/>
      <x:c r="H975" s="13"/>
      <x:c r="I975" s="13"/>
      <x:c r="J975" s="13"/>
      <x:c r="K975" s="13"/>
      <x:c r="L975" s="13"/>
      <x:c r="M975" s="13"/>
      <x:c r="N975" s="13"/>
      <x:c r="O975" s="13"/>
      <x:c r="P975" s="13"/>
    </x:row>
    <x:row r="976">
      <x:c r="E976" s="13"/>
      <x:c r="F976" s="13"/>
      <x:c r="G976" s="13"/>
      <x:c r="H976" s="13"/>
      <x:c r="I976" s="13"/>
      <x:c r="J976" s="13"/>
      <x:c r="K976" s="13"/>
      <x:c r="L976" s="13"/>
      <x:c r="M976" s="13"/>
      <x:c r="N976" s="13"/>
      <x:c r="O976" s="13"/>
      <x:c r="P976" s="13"/>
    </x:row>
    <x:row r="977">
      <x:c r="E977" s="13"/>
      <x:c r="F977" s="13"/>
      <x:c r="G977" s="13"/>
      <x:c r="H977" s="13"/>
      <x:c r="I977" s="13"/>
      <x:c r="J977" s="13"/>
      <x:c r="K977" s="13"/>
      <x:c r="L977" s="13"/>
      <x:c r="M977" s="13"/>
      <x:c r="N977" s="13"/>
      <x:c r="O977" s="13"/>
      <x:c r="P977" s="13"/>
    </x:row>
    <x:row r="978">
      <x:c r="E978" s="13"/>
      <x:c r="F978" s="13"/>
      <x:c r="G978" s="13"/>
      <x:c r="H978" s="13"/>
      <x:c r="I978" s="13"/>
      <x:c r="J978" s="13"/>
      <x:c r="K978" s="13"/>
      <x:c r="L978" s="13"/>
      <x:c r="M978" s="13"/>
      <x:c r="N978" s="13"/>
      <x:c r="O978" s="13"/>
      <x:c r="P978" s="13"/>
    </x:row>
    <x:row r="979">
      <x:c r="E979" s="13"/>
      <x:c r="F979" s="13"/>
      <x:c r="G979" s="13"/>
      <x:c r="H979" s="13"/>
      <x:c r="I979" s="13"/>
      <x:c r="J979" s="13"/>
      <x:c r="K979" s="13"/>
      <x:c r="L979" s="13"/>
      <x:c r="M979" s="13"/>
      <x:c r="N979" s="13"/>
      <x:c r="O979" s="13"/>
      <x:c r="P979" s="13"/>
    </x:row>
    <x:row r="980">
      <x:c r="E980" s="13"/>
      <x:c r="F980" s="13"/>
      <x:c r="G980" s="13"/>
      <x:c r="H980" s="13"/>
      <x:c r="I980" s="13"/>
      <x:c r="J980" s="13"/>
      <x:c r="K980" s="13"/>
      <x:c r="L980" s="13"/>
      <x:c r="M980" s="13"/>
      <x:c r="N980" s="13"/>
      <x:c r="O980" s="13"/>
      <x:c r="P980" s="13"/>
    </x:row>
    <x:row r="981">
      <x:c r="E981" s="13"/>
      <x:c r="F981" s="13"/>
      <x:c r="G981" s="13"/>
      <x:c r="H981" s="13"/>
      <x:c r="I981" s="13"/>
      <x:c r="J981" s="13"/>
      <x:c r="K981" s="13"/>
      <x:c r="L981" s="13"/>
      <x:c r="M981" s="13"/>
      <x:c r="N981" s="13"/>
      <x:c r="O981" s="13"/>
      <x:c r="P981" s="13"/>
    </x:row>
    <x:row r="982">
      <x:c r="E982" s="13"/>
      <x:c r="F982" s="13"/>
      <x:c r="G982" s="13"/>
      <x:c r="H982" s="13"/>
      <x:c r="I982" s="13"/>
      <x:c r="J982" s="13"/>
      <x:c r="K982" s="13"/>
      <x:c r="L982" s="13"/>
      <x:c r="M982" s="13"/>
      <x:c r="N982" s="13"/>
      <x:c r="O982" s="13"/>
      <x:c r="P982" s="13"/>
    </x:row>
    <x:row r="983">
      <x:c r="E983" s="13"/>
      <x:c r="F983" s="13"/>
      <x:c r="G983" s="13"/>
      <x:c r="H983" s="13"/>
      <x:c r="I983" s="13"/>
      <x:c r="J983" s="13"/>
      <x:c r="K983" s="13"/>
      <x:c r="L983" s="13"/>
      <x:c r="M983" s="13"/>
      <x:c r="N983" s="13"/>
      <x:c r="O983" s="13"/>
      <x:c r="P983" s="13"/>
    </x:row>
    <x:row r="984">
      <x:c r="E984" s="13"/>
      <x:c r="F984" s="13"/>
      <x:c r="G984" s="13"/>
      <x:c r="H984" s="13"/>
      <x:c r="I984" s="13"/>
      <x:c r="J984" s="13"/>
      <x:c r="K984" s="13"/>
      <x:c r="L984" s="13"/>
      <x:c r="M984" s="13"/>
      <x:c r="N984" s="13"/>
      <x:c r="O984" s="13"/>
      <x:c r="P984" s="13"/>
    </x:row>
    <x:row r="985">
      <x:c r="E985" s="13"/>
      <x:c r="F985" s="13"/>
      <x:c r="G985" s="13"/>
      <x:c r="H985" s="13"/>
      <x:c r="I985" s="13"/>
      <x:c r="J985" s="13"/>
      <x:c r="K985" s="13"/>
      <x:c r="L985" s="13"/>
      <x:c r="M985" s="13"/>
      <x:c r="N985" s="13"/>
      <x:c r="O985" s="13"/>
      <x:c r="P985" s="13"/>
    </x:row>
    <x:row r="986">
      <x:c r="E986" s="13"/>
      <x:c r="F986" s="13"/>
      <x:c r="G986" s="13"/>
      <x:c r="H986" s="13"/>
      <x:c r="I986" s="13"/>
      <x:c r="J986" s="13"/>
      <x:c r="K986" s="13"/>
      <x:c r="L986" s="13"/>
      <x:c r="M986" s="13"/>
      <x:c r="N986" s="13"/>
      <x:c r="O986" s="13"/>
      <x:c r="P986" s="13"/>
    </x:row>
    <x:row r="987">
      <x:c r="E987" s="13"/>
      <x:c r="F987" s="13"/>
      <x:c r="G987" s="13"/>
      <x:c r="H987" s="13"/>
      <x:c r="I987" s="13"/>
      <x:c r="J987" s="13"/>
      <x:c r="K987" s="13"/>
      <x:c r="L987" s="13"/>
      <x:c r="M987" s="13"/>
      <x:c r="N987" s="13"/>
      <x:c r="O987" s="13"/>
      <x:c r="P987" s="13"/>
    </x:row>
    <x:row r="988">
      <x:c r="E988" s="13"/>
      <x:c r="F988" s="13"/>
      <x:c r="G988" s="13"/>
      <x:c r="H988" s="13"/>
      <x:c r="I988" s="13"/>
      <x:c r="J988" s="13"/>
      <x:c r="K988" s="13"/>
      <x:c r="L988" s="13"/>
      <x:c r="M988" s="13"/>
      <x:c r="N988" s="13"/>
      <x:c r="O988" s="13"/>
      <x:c r="P988" s="13"/>
    </x:row>
    <x:row r="989">
      <x:c r="E989" s="13"/>
      <x:c r="F989" s="13"/>
      <x:c r="G989" s="13"/>
      <x:c r="H989" s="13"/>
      <x:c r="I989" s="13"/>
      <x:c r="J989" s="13"/>
      <x:c r="K989" s="13"/>
      <x:c r="L989" s="13"/>
      <x:c r="M989" s="13"/>
      <x:c r="N989" s="13"/>
      <x:c r="O989" s="13"/>
      <x:c r="P989" s="13"/>
    </x:row>
    <x:row r="990">
      <x:c r="E990" s="13"/>
      <x:c r="F990" s="13"/>
      <x:c r="G990" s="13"/>
      <x:c r="H990" s="13"/>
      <x:c r="I990" s="13"/>
      <x:c r="J990" s="13"/>
      <x:c r="K990" s="13"/>
      <x:c r="L990" s="13"/>
      <x:c r="M990" s="13"/>
      <x:c r="N990" s="13"/>
      <x:c r="O990" s="13"/>
      <x:c r="P990" s="13"/>
    </x:row>
    <x:row r="991">
      <x:c r="E991" s="13"/>
      <x:c r="F991" s="13"/>
      <x:c r="G991" s="13"/>
      <x:c r="H991" s="13"/>
      <x:c r="I991" s="13"/>
      <x:c r="J991" s="13"/>
      <x:c r="K991" s="13"/>
      <x:c r="L991" s="13"/>
      <x:c r="M991" s="13"/>
      <x:c r="N991" s="13"/>
      <x:c r="O991" s="13"/>
      <x:c r="P991" s="13"/>
    </x:row>
    <x:row r="992">
      <x:c r="E992" s="13"/>
      <x:c r="F992" s="13"/>
      <x:c r="G992" s="13"/>
      <x:c r="H992" s="13"/>
      <x:c r="I992" s="13"/>
      <x:c r="J992" s="13"/>
      <x:c r="K992" s="13"/>
      <x:c r="L992" s="13"/>
      <x:c r="M992" s="13"/>
      <x:c r="N992" s="13"/>
      <x:c r="O992" s="13"/>
      <x:c r="P992" s="13"/>
    </x:row>
    <x:row r="993">
      <x:c r="E993" s="13"/>
      <x:c r="F993" s="13"/>
      <x:c r="G993" s="13"/>
      <x:c r="H993" s="13"/>
      <x:c r="I993" s="13"/>
      <x:c r="J993" s="13"/>
      <x:c r="K993" s="13"/>
      <x:c r="L993" s="13"/>
      <x:c r="M993" s="13"/>
      <x:c r="N993" s="13"/>
      <x:c r="O993" s="13"/>
      <x:c r="P993" s="13"/>
    </x:row>
    <x:row r="994">
      <x:c r="E994" s="13"/>
      <x:c r="F994" s="13"/>
      <x:c r="G994" s="13"/>
      <x:c r="H994" s="13"/>
      <x:c r="I994" s="13"/>
      <x:c r="J994" s="13"/>
      <x:c r="K994" s="13"/>
      <x:c r="L994" s="13"/>
      <x:c r="M994" s="13"/>
      <x:c r="N994" s="13"/>
      <x:c r="O994" s="13"/>
      <x:c r="P994" s="13"/>
    </x:row>
    <x:row r="995">
      <x:c r="E995" s="13"/>
      <x:c r="F995" s="13"/>
      <x:c r="G995" s="13"/>
      <x:c r="H995" s="13"/>
      <x:c r="I995" s="13"/>
      <x:c r="J995" s="13"/>
      <x:c r="K995" s="13"/>
      <x:c r="L995" s="13"/>
      <x:c r="M995" s="13"/>
      <x:c r="N995" s="13"/>
      <x:c r="O995" s="13"/>
      <x:c r="P995" s="13"/>
    </x:row>
    <x:row r="996">
      <x:c r="E996" s="13"/>
      <x:c r="F996" s="13"/>
      <x:c r="G996" s="13"/>
      <x:c r="H996" s="13"/>
      <x:c r="I996" s="13"/>
      <x:c r="J996" s="13"/>
      <x:c r="K996" s="13"/>
      <x:c r="L996" s="13"/>
      <x:c r="M996" s="13"/>
      <x:c r="N996" s="13"/>
      <x:c r="O996" s="13"/>
      <x:c r="P996" s="13"/>
    </x:row>
    <x:row r="997">
      <x:c r="E997" s="13"/>
      <x:c r="F997" s="13"/>
      <x:c r="G997" s="13"/>
      <x:c r="H997" s="13"/>
      <x:c r="I997" s="13"/>
      <x:c r="J997" s="13"/>
      <x:c r="K997" s="13"/>
      <x:c r="L997" s="13"/>
      <x:c r="M997" s="13"/>
      <x:c r="N997" s="13"/>
      <x:c r="O997" s="13"/>
      <x:c r="P997" s="13"/>
    </x:row>
    <x:row r="998">
      <x:c r="E998" s="13"/>
      <x:c r="F998" s="13"/>
      <x:c r="G998" s="13"/>
      <x:c r="H998" s="13"/>
      <x:c r="I998" s="13"/>
      <x:c r="J998" s="13"/>
      <x:c r="K998" s="13"/>
      <x:c r="L998" s="13"/>
      <x:c r="M998" s="13"/>
      <x:c r="N998" s="13"/>
      <x:c r="O998" s="13"/>
      <x:c r="P998" s="13"/>
    </x:row>
    <x:row r="999">
      <x:c r="E999" s="13"/>
      <x:c r="F999" s="13"/>
      <x:c r="G999" s="13"/>
      <x:c r="H999" s="13"/>
      <x:c r="I999" s="13"/>
      <x:c r="J999" s="13"/>
      <x:c r="K999" s="13"/>
      <x:c r="L999" s="13"/>
      <x:c r="M999" s="13"/>
      <x:c r="N999" s="13"/>
      <x:c r="O999" s="13"/>
      <x:c r="P999" s="13"/>
    </x:row>
    <x:row r="1000">
      <x:c r="E1000" s="13"/>
      <x:c r="F1000" s="13"/>
      <x:c r="G1000" s="13"/>
      <x:c r="H1000" s="13"/>
      <x:c r="I1000" s="13"/>
      <x:c r="J1000" s="13"/>
      <x:c r="K1000" s="13"/>
      <x:c r="L1000" s="13"/>
      <x:c r="M1000" s="13"/>
      <x:c r="N1000" s="13"/>
      <x:c r="O1000" s="13"/>
      <x:c r="P1000" s="13"/>
    </x:row>
    <x:row r="1001">
      <x:c r="E1001" s="13"/>
      <x:c r="F1001" s="13"/>
      <x:c r="G1001" s="13"/>
      <x:c r="H1001" s="13"/>
      <x:c r="I1001" s="13"/>
      <x:c r="J1001" s="13"/>
      <x:c r="K1001" s="13"/>
      <x:c r="L1001" s="13"/>
      <x:c r="M1001" s="13"/>
      <x:c r="N1001" s="13"/>
      <x:c r="O1001" s="13"/>
      <x:c r="P1001" s="13"/>
    </x:row>
    <x:row r="1002">
      <x:c r="E1002" s="13"/>
      <x:c r="F1002" s="13"/>
      <x:c r="G1002" s="13"/>
      <x:c r="H1002" s="13"/>
      <x:c r="I1002" s="13"/>
      <x:c r="J1002" s="13"/>
      <x:c r="K1002" s="13"/>
      <x:c r="L1002" s="13"/>
      <x:c r="M1002" s="13"/>
      <x:c r="N1002" s="13"/>
      <x:c r="O1002" s="13"/>
      <x:c r="P1002" s="13"/>
    </x:row>
    <x:row r="1003">
      <x:c r="E1003" s="13"/>
      <x:c r="F1003" s="13"/>
      <x:c r="G1003" s="13"/>
      <x:c r="H1003" s="13"/>
      <x:c r="I1003" s="13"/>
      <x:c r="J1003" s="13"/>
      <x:c r="K1003" s="13"/>
      <x:c r="L1003" s="13"/>
      <x:c r="M1003" s="13"/>
      <x:c r="N1003" s="13"/>
      <x:c r="O1003" s="13"/>
      <x:c r="P1003" s="13"/>
    </x:row>
    <x:row r="1004">
      <x:c r="E1004" s="13"/>
      <x:c r="F1004" s="13"/>
      <x:c r="G1004" s="13"/>
      <x:c r="H1004" s="13"/>
      <x:c r="I1004" s="13"/>
      <x:c r="J1004" s="13"/>
      <x:c r="K1004" s="13"/>
      <x:c r="L1004" s="13"/>
      <x:c r="M1004" s="13"/>
      <x:c r="N1004" s="13"/>
      <x:c r="O1004" s="13"/>
      <x:c r="P1004" s="13"/>
    </x:row>
    <x:row r="1005">
      <x:c r="E1005" s="13"/>
      <x:c r="F1005" s="13"/>
      <x:c r="G1005" s="13"/>
      <x:c r="H1005" s="13"/>
      <x:c r="I1005" s="13"/>
      <x:c r="J1005" s="13"/>
      <x:c r="K1005" s="13"/>
      <x:c r="L1005" s="13"/>
      <x:c r="M1005" s="13"/>
      <x:c r="N1005" s="13"/>
      <x:c r="O1005" s="13"/>
      <x:c r="P1005" s="13"/>
    </x:row>
    <x:row r="1006">
      <x:c r="E1006" s="13"/>
      <x:c r="F1006" s="13"/>
      <x:c r="G1006" s="13"/>
      <x:c r="H1006" s="13"/>
      <x:c r="I1006" s="13"/>
      <x:c r="J1006" s="13"/>
      <x:c r="K1006" s="13"/>
      <x:c r="L1006" s="13"/>
      <x:c r="M1006" s="13"/>
      <x:c r="N1006" s="13"/>
      <x:c r="O1006" s="13"/>
      <x:c r="P1006" s="13"/>
    </x:row>
    <x:row r="1007">
      <x:c r="E1007" s="13"/>
      <x:c r="F1007" s="13"/>
      <x:c r="G1007" s="13"/>
      <x:c r="H1007" s="13"/>
      <x:c r="I1007" s="13"/>
      <x:c r="J1007" s="13"/>
      <x:c r="K1007" s="13"/>
      <x:c r="L1007" s="13"/>
      <x:c r="M1007" s="13"/>
      <x:c r="N1007" s="13"/>
      <x:c r="O1007" s="13"/>
      <x:c r="P1007" s="13"/>
    </x:row>
    <x:row r="1008">
      <x:c r="E1008" s="13"/>
      <x:c r="F1008" s="13"/>
      <x:c r="G1008" s="13"/>
      <x:c r="H1008" s="13"/>
      <x:c r="I1008" s="13"/>
      <x:c r="J1008" s="13"/>
      <x:c r="K1008" s="13"/>
      <x:c r="L1008" s="13"/>
      <x:c r="M1008" s="13"/>
      <x:c r="N1008" s="13"/>
      <x:c r="O1008" s="13"/>
      <x:c r="P1008" s="13"/>
    </x:row>
    <x:row r="1009">
      <x:c r="E1009" s="13"/>
      <x:c r="F1009" s="13"/>
      <x:c r="G1009" s="13"/>
      <x:c r="H1009" s="13"/>
      <x:c r="I1009" s="13"/>
      <x:c r="J1009" s="13"/>
      <x:c r="K1009" s="13"/>
      <x:c r="L1009" s="13"/>
      <x:c r="M1009" s="13"/>
      <x:c r="N1009" s="13"/>
      <x:c r="O1009" s="13"/>
      <x:c r="P1009" s="13"/>
    </x:row>
    <x:row r="1010">
      <x:c r="E1010" s="13"/>
      <x:c r="F1010" s="13"/>
      <x:c r="G1010" s="13"/>
      <x:c r="H1010" s="13"/>
      <x:c r="I1010" s="13"/>
      <x:c r="J1010" s="13"/>
      <x:c r="K1010" s="13"/>
      <x:c r="L1010" s="13"/>
      <x:c r="M1010" s="13"/>
      <x:c r="N1010" s="13"/>
      <x:c r="O1010" s="13"/>
      <x:c r="P1010" s="13"/>
    </x:row>
    <x:row r="1011">
      <x:c r="E1011" s="13"/>
      <x:c r="F1011" s="13"/>
      <x:c r="G1011" s="13"/>
      <x:c r="H1011" s="13"/>
      <x:c r="I1011" s="13"/>
      <x:c r="J1011" s="13"/>
      <x:c r="K1011" s="13"/>
      <x:c r="L1011" s="13"/>
      <x:c r="M1011" s="13"/>
      <x:c r="N1011" s="13"/>
      <x:c r="O1011" s="13"/>
      <x:c r="P1011" s="13"/>
    </x:row>
    <x:row r="1012">
      <x:c r="E1012" s="13"/>
      <x:c r="F1012" s="13"/>
      <x:c r="G1012" s="13"/>
      <x:c r="H1012" s="13"/>
      <x:c r="I1012" s="13"/>
      <x:c r="J1012" s="13"/>
      <x:c r="K1012" s="13"/>
      <x:c r="L1012" s="13"/>
      <x:c r="M1012" s="13"/>
      <x:c r="N1012" s="13"/>
      <x:c r="O1012" s="13"/>
      <x:c r="P1012" s="13"/>
    </x:row>
    <x:row r="1013">
      <x:c r="E1013" s="13"/>
      <x:c r="F1013" s="13"/>
      <x:c r="G1013" s="13"/>
      <x:c r="H1013" s="13"/>
      <x:c r="I1013" s="13"/>
      <x:c r="J1013" s="13"/>
      <x:c r="K1013" s="13"/>
      <x:c r="L1013" s="13"/>
      <x:c r="M1013" s="13"/>
      <x:c r="N1013" s="13"/>
      <x:c r="O1013" s="13"/>
      <x:c r="P1013" s="13"/>
    </x:row>
    <x:row r="1014">
      <x:c r="E1014" s="13"/>
      <x:c r="F1014" s="13"/>
      <x:c r="G1014" s="13"/>
      <x:c r="H1014" s="13"/>
      <x:c r="I1014" s="13"/>
      <x:c r="J1014" s="13"/>
      <x:c r="K1014" s="13"/>
      <x:c r="L1014" s="13"/>
      <x:c r="M1014" s="13"/>
      <x:c r="N1014" s="13"/>
      <x:c r="O1014" s="13"/>
      <x:c r="P1014" s="13"/>
    </x:row>
    <x:row r="1015">
      <x:c r="E1015" s="13"/>
      <x:c r="F1015" s="13"/>
      <x:c r="G1015" s="13"/>
      <x:c r="H1015" s="13"/>
      <x:c r="I1015" s="13"/>
      <x:c r="J1015" s="13"/>
      <x:c r="K1015" s="13"/>
      <x:c r="L1015" s="13"/>
      <x:c r="M1015" s="13"/>
      <x:c r="N1015" s="13"/>
      <x:c r="O1015" s="13"/>
      <x:c r="P1015" s="13"/>
    </x:row>
    <x:row r="1016">
      <x:c r="E1016" s="13"/>
      <x:c r="F1016" s="13"/>
      <x:c r="G1016" s="13"/>
      <x:c r="H1016" s="13"/>
      <x:c r="I1016" s="13"/>
      <x:c r="J1016" s="13"/>
      <x:c r="K1016" s="13"/>
      <x:c r="L1016" s="13"/>
      <x:c r="M1016" s="13"/>
      <x:c r="N1016" s="13"/>
      <x:c r="O1016" s="13"/>
      <x:c r="P1016" s="13"/>
    </x:row>
    <x:row r="1017">
      <x:c r="E1017" s="13"/>
      <x:c r="F1017" s="13"/>
      <x:c r="G1017" s="13"/>
      <x:c r="H1017" s="13"/>
      <x:c r="I1017" s="13"/>
      <x:c r="J1017" s="13"/>
      <x:c r="K1017" s="13"/>
      <x:c r="L1017" s="13"/>
      <x:c r="M1017" s="13"/>
      <x:c r="N1017" s="13"/>
      <x:c r="O1017" s="13"/>
      <x:c r="P1017" s="13"/>
    </x:row>
    <x:row r="1018">
      <x:c r="E1018" s="13"/>
      <x:c r="F1018" s="13"/>
      <x:c r="G1018" s="13"/>
      <x:c r="H1018" s="13"/>
      <x:c r="I1018" s="13"/>
      <x:c r="J1018" s="13"/>
      <x:c r="K1018" s="13"/>
      <x:c r="L1018" s="13"/>
      <x:c r="M1018" s="13"/>
      <x:c r="N1018" s="13"/>
      <x:c r="O1018" s="13"/>
      <x:c r="P1018" s="13"/>
    </x:row>
    <x:row r="1019">
      <x:c r="E1019" s="13"/>
      <x:c r="F1019" s="13"/>
      <x:c r="G1019" s="13"/>
      <x:c r="H1019" s="13"/>
      <x:c r="I1019" s="13"/>
      <x:c r="J1019" s="13"/>
      <x:c r="K1019" s="13"/>
      <x:c r="L1019" s="13"/>
      <x:c r="M1019" s="13"/>
      <x:c r="N1019" s="13"/>
      <x:c r="O1019" s="13"/>
      <x:c r="P1019" s="13"/>
    </x:row>
    <x:row r="1020">
      <x:c r="E1020" s="13"/>
      <x:c r="F1020" s="13"/>
      <x:c r="G1020" s="13"/>
      <x:c r="H1020" s="13"/>
      <x:c r="I1020" s="13"/>
      <x:c r="J1020" s="13"/>
      <x:c r="K1020" s="13"/>
      <x:c r="L1020" s="13"/>
      <x:c r="M1020" s="13"/>
      <x:c r="N1020" s="13"/>
      <x:c r="O1020" s="13"/>
      <x:c r="P1020" s="13"/>
    </x:row>
    <x:row r="1021">
      <x:c r="E1021" s="13"/>
      <x:c r="F1021" s="13"/>
      <x:c r="G1021" s="13"/>
      <x:c r="H1021" s="13"/>
      <x:c r="I1021" s="13"/>
      <x:c r="J1021" s="13"/>
      <x:c r="K1021" s="13"/>
      <x:c r="L1021" s="13"/>
      <x:c r="M1021" s="13"/>
      <x:c r="N1021" s="13"/>
      <x:c r="O1021" s="13"/>
      <x:c r="P1021" s="13"/>
    </x:row>
    <x:row r="1022">
      <x:c r="E1022" s="13"/>
      <x:c r="F1022" s="13"/>
      <x:c r="G1022" s="13"/>
      <x:c r="H1022" s="13"/>
      <x:c r="I1022" s="13"/>
      <x:c r="J1022" s="13"/>
      <x:c r="K1022" s="13"/>
      <x:c r="L1022" s="13"/>
      <x:c r="M1022" s="13"/>
      <x:c r="N1022" s="13"/>
      <x:c r="O1022" s="13"/>
      <x:c r="P1022" s="13"/>
    </x:row>
    <x:row r="1023">
      <x:c r="E1023" s="13"/>
      <x:c r="F1023" s="13"/>
      <x:c r="G1023" s="13"/>
      <x:c r="H1023" s="13"/>
      <x:c r="I1023" s="13"/>
      <x:c r="J1023" s="13"/>
      <x:c r="K1023" s="13"/>
      <x:c r="L1023" s="13"/>
      <x:c r="M1023" s="13"/>
      <x:c r="N1023" s="13"/>
      <x:c r="O1023" s="13"/>
      <x:c r="P1023" s="13"/>
    </x:row>
    <x:row r="1024">
      <x:c r="E1024" s="13"/>
      <x:c r="F1024" s="13"/>
      <x:c r="G1024" s="13"/>
      <x:c r="H1024" s="13"/>
      <x:c r="I1024" s="13"/>
      <x:c r="J1024" s="13"/>
      <x:c r="K1024" s="13"/>
      <x:c r="L1024" s="13"/>
      <x:c r="M1024" s="13"/>
      <x:c r="N1024" s="13"/>
      <x:c r="O1024" s="13"/>
      <x:c r="P1024" s="13"/>
    </x:row>
    <x:row r="1025">
      <x:c r="E1025" s="13"/>
      <x:c r="F1025" s="13"/>
      <x:c r="G1025" s="13"/>
      <x:c r="H1025" s="13"/>
      <x:c r="I1025" s="13"/>
      <x:c r="J1025" s="13"/>
      <x:c r="K1025" s="13"/>
      <x:c r="L1025" s="13"/>
      <x:c r="M1025" s="13"/>
      <x:c r="N1025" s="13"/>
      <x:c r="O1025" s="13"/>
      <x:c r="P1025" s="13"/>
    </x:row>
    <x:row r="1026">
      <x:c r="E1026" s="13"/>
      <x:c r="F1026" s="13"/>
      <x:c r="G1026" s="13"/>
      <x:c r="H1026" s="13"/>
      <x:c r="I1026" s="13"/>
      <x:c r="J1026" s="13"/>
      <x:c r="K1026" s="13"/>
      <x:c r="L1026" s="13"/>
      <x:c r="M1026" s="13"/>
      <x:c r="N1026" s="13"/>
      <x:c r="O1026" s="13"/>
      <x:c r="P1026" s="13"/>
    </x:row>
    <x:row r="1027">
      <x:c r="E1027" s="13"/>
      <x:c r="F1027" s="13"/>
      <x:c r="G1027" s="13"/>
      <x:c r="H1027" s="13"/>
      <x:c r="I1027" s="13"/>
      <x:c r="J1027" s="13"/>
      <x:c r="K1027" s="13"/>
      <x:c r="L1027" s="13"/>
      <x:c r="M1027" s="13"/>
      <x:c r="N1027" s="13"/>
      <x:c r="O1027" s="13"/>
      <x:c r="P1027" s="13"/>
    </x:row>
    <x:row r="1028">
      <x:c r="E1028" s="13"/>
      <x:c r="F1028" s="13"/>
      <x:c r="G1028" s="13"/>
      <x:c r="H1028" s="13"/>
      <x:c r="I1028" s="13"/>
      <x:c r="J1028" s="13"/>
      <x:c r="K1028" s="13"/>
      <x:c r="L1028" s="13"/>
      <x:c r="M1028" s="13"/>
      <x:c r="N1028" s="13"/>
      <x:c r="O1028" s="13"/>
      <x:c r="P1028" s="13"/>
    </x:row>
    <x:row r="1029">
      <x:c r="E1029" s="13"/>
      <x:c r="F1029" s="13"/>
      <x:c r="G1029" s="13"/>
      <x:c r="H1029" s="13"/>
      <x:c r="I1029" s="13"/>
      <x:c r="J1029" s="13"/>
      <x:c r="K1029" s="13"/>
      <x:c r="L1029" s="13"/>
      <x:c r="M1029" s="13"/>
      <x:c r="N1029" s="13"/>
      <x:c r="O1029" s="13"/>
      <x:c r="P1029" s="13"/>
    </x:row>
    <x:row r="1030">
      <x:c r="E1030" s="13"/>
      <x:c r="F1030" s="13"/>
      <x:c r="G1030" s="13"/>
      <x:c r="H1030" s="13"/>
      <x:c r="I1030" s="13"/>
      <x:c r="J1030" s="13"/>
      <x:c r="K1030" s="13"/>
      <x:c r="L1030" s="13"/>
      <x:c r="M1030" s="13"/>
      <x:c r="N1030" s="13"/>
      <x:c r="O1030" s="13"/>
      <x:c r="P1030" s="13"/>
    </x:row>
    <x:row r="1031">
      <x:c r="E1031" s="13"/>
      <x:c r="F1031" s="13"/>
      <x:c r="G1031" s="13"/>
      <x:c r="H1031" s="13"/>
      <x:c r="I1031" s="13"/>
      <x:c r="J1031" s="13"/>
      <x:c r="K1031" s="13"/>
      <x:c r="L1031" s="13"/>
      <x:c r="M1031" s="13"/>
      <x:c r="N1031" s="13"/>
      <x:c r="O1031" s="13"/>
      <x:c r="P1031" s="13"/>
    </x:row>
    <x:row r="1032">
      <x:c r="E1032" s="13"/>
      <x:c r="F1032" s="13"/>
      <x:c r="G1032" s="13"/>
      <x:c r="H1032" s="13"/>
      <x:c r="I1032" s="13"/>
      <x:c r="J1032" s="13"/>
      <x:c r="K1032" s="13"/>
      <x:c r="L1032" s="13"/>
      <x:c r="M1032" s="13"/>
      <x:c r="N1032" s="13"/>
      <x:c r="O1032" s="13"/>
      <x:c r="P1032" s="13"/>
    </x:row>
    <x:row r="1033">
      <x:c r="E1033" s="13"/>
      <x:c r="F1033" s="13"/>
      <x:c r="G1033" s="13"/>
      <x:c r="H1033" s="13"/>
      <x:c r="I1033" s="13"/>
      <x:c r="J1033" s="13"/>
      <x:c r="K1033" s="13"/>
      <x:c r="L1033" s="13"/>
      <x:c r="M1033" s="13"/>
      <x:c r="N1033" s="13"/>
      <x:c r="O1033" s="13"/>
      <x:c r="P1033" s="13"/>
    </x:row>
    <x:row r="1034">
      <x:c r="E1034" s="13"/>
      <x:c r="F1034" s="13"/>
      <x:c r="G1034" s="13"/>
      <x:c r="H1034" s="13"/>
      <x:c r="I1034" s="13"/>
      <x:c r="J1034" s="13"/>
      <x:c r="K1034" s="13"/>
      <x:c r="L1034" s="13"/>
      <x:c r="M1034" s="13"/>
      <x:c r="N1034" s="13"/>
      <x:c r="O1034" s="13"/>
      <x:c r="P1034" s="13"/>
    </x:row>
    <x:row r="1035">
      <x:c r="E1035" s="13"/>
      <x:c r="F1035" s="13"/>
      <x:c r="G1035" s="13"/>
      <x:c r="H1035" s="13"/>
      <x:c r="I1035" s="13"/>
      <x:c r="J1035" s="13"/>
      <x:c r="K1035" s="13"/>
      <x:c r="L1035" s="13"/>
      <x:c r="M1035" s="13"/>
      <x:c r="N1035" s="13"/>
      <x:c r="O1035" s="13"/>
      <x:c r="P1035" s="13"/>
    </x:row>
    <x:row r="1036">
      <x:c r="E1036" s="13"/>
      <x:c r="F1036" s="13"/>
      <x:c r="G1036" s="13"/>
      <x:c r="H1036" s="13"/>
      <x:c r="I1036" s="13"/>
      <x:c r="J1036" s="13"/>
      <x:c r="K1036" s="13"/>
      <x:c r="L1036" s="13"/>
      <x:c r="M1036" s="13"/>
      <x:c r="N1036" s="13"/>
      <x:c r="O1036" s="13"/>
      <x:c r="P1036" s="13"/>
    </x:row>
    <x:row r="1037">
      <x:c r="E1037" s="13"/>
      <x:c r="F1037" s="13"/>
      <x:c r="G1037" s="13"/>
      <x:c r="H1037" s="13"/>
      <x:c r="I1037" s="13"/>
      <x:c r="J1037" s="13"/>
      <x:c r="K1037" s="13"/>
      <x:c r="L1037" s="13"/>
      <x:c r="M1037" s="13"/>
      <x:c r="N1037" s="13"/>
      <x:c r="O1037" s="13"/>
      <x:c r="P1037" s="13"/>
    </x:row>
    <x:row r="1038">
      <x:c r="E1038" s="13"/>
      <x:c r="F1038" s="13"/>
      <x:c r="G1038" s="13"/>
      <x:c r="H1038" s="13"/>
      <x:c r="I1038" s="13"/>
      <x:c r="J1038" s="13"/>
      <x:c r="K1038" s="13"/>
      <x:c r="L1038" s="13"/>
      <x:c r="M1038" s="13"/>
      <x:c r="N1038" s="13"/>
      <x:c r="O1038" s="13"/>
      <x:c r="P1038" s="13"/>
    </x:row>
    <x:row r="1039">
      <x:c r="E1039" s="13"/>
      <x:c r="F1039" s="13"/>
      <x:c r="G1039" s="13"/>
      <x:c r="H1039" s="13"/>
      <x:c r="I1039" s="13"/>
      <x:c r="J1039" s="13"/>
      <x:c r="K1039" s="13"/>
      <x:c r="L1039" s="13"/>
      <x:c r="M1039" s="13"/>
      <x:c r="N1039" s="13"/>
      <x:c r="O1039" s="13"/>
      <x:c r="P1039" s="13"/>
    </x:row>
    <x:row r="1040">
      <x:c r="E1040" s="13"/>
      <x:c r="F1040" s="13"/>
      <x:c r="G1040" s="13"/>
      <x:c r="H1040" s="13"/>
      <x:c r="I1040" s="13"/>
      <x:c r="J1040" s="13"/>
      <x:c r="K1040" s="13"/>
      <x:c r="L1040" s="13"/>
      <x:c r="M1040" s="13"/>
      <x:c r="N1040" s="13"/>
      <x:c r="O1040" s="13"/>
      <x:c r="P1040" s="13"/>
    </x:row>
    <x:row r="1041">
      <x:c r="E1041" s="13"/>
      <x:c r="F1041" s="13"/>
      <x:c r="G1041" s="13"/>
      <x:c r="H1041" s="13"/>
      <x:c r="I1041" s="13"/>
      <x:c r="J1041" s="13"/>
      <x:c r="K1041" s="13"/>
      <x:c r="L1041" s="13"/>
      <x:c r="M1041" s="13"/>
      <x:c r="N1041" s="13"/>
      <x:c r="O1041" s="13"/>
      <x:c r="P1041" s="13"/>
    </x:row>
    <x:row r="1042">
      <x:c r="E1042" s="13"/>
      <x:c r="F1042" s="13"/>
      <x:c r="G1042" s="13"/>
      <x:c r="H1042" s="13"/>
      <x:c r="I1042" s="13"/>
      <x:c r="J1042" s="13"/>
      <x:c r="K1042" s="13"/>
      <x:c r="L1042" s="13"/>
      <x:c r="M1042" s="13"/>
      <x:c r="N1042" s="13"/>
      <x:c r="O1042" s="13"/>
      <x:c r="P1042" s="13"/>
    </x:row>
    <x:row r="1043">
      <x:c r="E1043" s="13"/>
      <x:c r="F1043" s="13"/>
      <x:c r="G1043" s="13"/>
      <x:c r="H1043" s="13"/>
      <x:c r="I1043" s="13"/>
      <x:c r="J1043" s="13"/>
      <x:c r="K1043" s="13"/>
      <x:c r="L1043" s="13"/>
      <x:c r="M1043" s="13"/>
      <x:c r="N1043" s="13"/>
      <x:c r="O1043" s="13"/>
      <x:c r="P1043" s="13"/>
    </x:row>
    <x:row r="1044">
      <x:c r="E1044" s="13"/>
      <x:c r="F1044" s="13"/>
      <x:c r="G1044" s="13"/>
      <x:c r="H1044" s="13"/>
      <x:c r="I1044" s="13"/>
      <x:c r="J1044" s="13"/>
      <x:c r="K1044" s="13"/>
      <x:c r="L1044" s="13"/>
      <x:c r="M1044" s="13"/>
      <x:c r="N1044" s="13"/>
      <x:c r="O1044" s="13"/>
      <x:c r="P1044" s="13"/>
    </x:row>
    <x:row r="1045">
      <x:c r="E1045" s="13"/>
      <x:c r="F1045" s="13"/>
      <x:c r="G1045" s="13"/>
      <x:c r="H1045" s="13"/>
      <x:c r="I1045" s="13"/>
      <x:c r="J1045" s="13"/>
      <x:c r="K1045" s="13"/>
      <x:c r="L1045" s="13"/>
      <x:c r="M1045" s="13"/>
      <x:c r="N1045" s="13"/>
      <x:c r="O1045" s="13"/>
      <x:c r="P1045" s="13"/>
    </x:row>
    <x:row r="1046">
      <x:c r="E1046" s="13"/>
      <x:c r="F1046" s="13"/>
      <x:c r="G1046" s="13"/>
      <x:c r="H1046" s="13"/>
      <x:c r="I1046" s="13"/>
      <x:c r="J1046" s="13"/>
      <x:c r="K1046" s="13"/>
      <x:c r="L1046" s="13"/>
      <x:c r="M1046" s="13"/>
      <x:c r="N1046" s="13"/>
      <x:c r="O1046" s="13"/>
      <x:c r="P1046" s="13"/>
    </x:row>
    <x:row r="1047">
      <x:c r="E1047" s="13"/>
      <x:c r="F1047" s="13"/>
      <x:c r="G1047" s="13"/>
      <x:c r="H1047" s="13"/>
      <x:c r="I1047" s="13"/>
      <x:c r="J1047" s="13"/>
      <x:c r="K1047" s="13"/>
      <x:c r="L1047" s="13"/>
      <x:c r="M1047" s="13"/>
      <x:c r="N1047" s="13"/>
      <x:c r="O1047" s="13"/>
      <x:c r="P1047" s="13"/>
    </x:row>
    <x:row r="1048">
      <x:c r="E1048" s="13"/>
      <x:c r="F1048" s="13"/>
      <x:c r="G1048" s="13"/>
      <x:c r="H1048" s="13"/>
      <x:c r="I1048" s="13"/>
      <x:c r="J1048" s="13"/>
      <x:c r="K1048" s="13"/>
      <x:c r="L1048" s="13"/>
      <x:c r="M1048" s="13"/>
      <x:c r="N1048" s="13"/>
      <x:c r="O1048" s="13"/>
      <x:c r="P1048" s="13"/>
    </x:row>
    <x:row r="1049">
      <x:c r="E1049" s="13"/>
      <x:c r="F1049" s="13"/>
      <x:c r="G1049" s="13"/>
      <x:c r="H1049" s="13"/>
      <x:c r="I1049" s="13"/>
      <x:c r="J1049" s="13"/>
      <x:c r="K1049" s="13"/>
      <x:c r="L1049" s="13"/>
      <x:c r="M1049" s="13"/>
      <x:c r="N1049" s="13"/>
      <x:c r="O1049" s="13"/>
      <x:c r="P1049" s="13"/>
    </x:row>
    <x:row r="1050">
      <x:c r="E1050" s="13"/>
      <x:c r="F1050" s="13"/>
      <x:c r="G1050" s="13"/>
      <x:c r="H1050" s="13"/>
      <x:c r="I1050" s="13"/>
      <x:c r="J1050" s="13"/>
      <x:c r="K1050" s="13"/>
      <x:c r="L1050" s="13"/>
      <x:c r="M1050" s="13"/>
      <x:c r="N1050" s="13"/>
      <x:c r="O1050" s="13"/>
      <x:c r="P1050" s="13"/>
    </x:row>
    <x:row r="1051">
      <x:c r="E1051" s="13"/>
      <x:c r="F1051" s="13"/>
      <x:c r="G1051" s="13"/>
      <x:c r="H1051" s="13"/>
      <x:c r="I1051" s="13"/>
      <x:c r="J1051" s="13"/>
      <x:c r="K1051" s="13"/>
      <x:c r="L1051" s="13"/>
      <x:c r="M1051" s="13"/>
      <x:c r="N1051" s="13"/>
      <x:c r="O1051" s="13"/>
      <x:c r="P1051" s="13"/>
    </x:row>
    <x:row r="1052">
      <x:c r="E1052" s="13"/>
      <x:c r="F1052" s="13"/>
      <x:c r="G1052" s="13"/>
      <x:c r="H1052" s="13"/>
      <x:c r="I1052" s="13"/>
      <x:c r="J1052" s="13"/>
      <x:c r="K1052" s="13"/>
      <x:c r="L1052" s="13"/>
      <x:c r="M1052" s="13"/>
      <x:c r="N1052" s="13"/>
      <x:c r="O1052" s="13"/>
      <x:c r="P1052" s="13"/>
    </x:row>
    <x:row r="1053">
      <x:c r="E1053" s="13"/>
      <x:c r="F1053" s="13"/>
      <x:c r="G1053" s="13"/>
      <x:c r="H1053" s="13"/>
      <x:c r="I1053" s="13"/>
      <x:c r="J1053" s="13"/>
      <x:c r="K1053" s="13"/>
      <x:c r="L1053" s="13"/>
      <x:c r="M1053" s="13"/>
      <x:c r="N1053" s="13"/>
      <x:c r="O1053" s="13"/>
      <x:c r="P1053" s="13"/>
    </x:row>
    <x:row r="1054">
      <x:c r="E1054" s="13"/>
      <x:c r="F1054" s="13"/>
      <x:c r="G1054" s="13"/>
      <x:c r="H1054" s="13"/>
      <x:c r="I1054" s="13"/>
      <x:c r="J1054" s="13"/>
      <x:c r="K1054" s="13"/>
      <x:c r="L1054" s="13"/>
      <x:c r="M1054" s="13"/>
      <x:c r="N1054" s="13"/>
      <x:c r="O1054" s="13"/>
      <x:c r="P1054" s="13"/>
    </x:row>
    <x:row r="1055">
      <x:c r="E1055" s="13"/>
      <x:c r="F1055" s="13"/>
      <x:c r="G1055" s="13"/>
      <x:c r="H1055" s="13"/>
      <x:c r="I1055" s="13"/>
      <x:c r="J1055" s="13"/>
      <x:c r="K1055" s="13"/>
      <x:c r="L1055" s="13"/>
      <x:c r="M1055" s="13"/>
      <x:c r="N1055" s="13"/>
      <x:c r="O1055" s="13"/>
      <x:c r="P1055" s="13"/>
    </x:row>
    <x:row r="1056">
      <x:c r="E1056" s="13"/>
      <x:c r="F1056" s="13"/>
      <x:c r="G1056" s="13"/>
      <x:c r="H1056" s="13"/>
      <x:c r="I1056" s="13"/>
      <x:c r="J1056" s="13"/>
      <x:c r="K1056" s="13"/>
      <x:c r="L1056" s="13"/>
      <x:c r="M1056" s="13"/>
      <x:c r="N1056" s="13"/>
      <x:c r="O1056" s="13"/>
      <x:c r="P1056" s="13"/>
    </x:row>
    <x:row r="1057">
      <x:c r="E1057" s="13"/>
      <x:c r="F1057" s="13"/>
      <x:c r="G1057" s="13"/>
      <x:c r="H1057" s="13"/>
      <x:c r="I1057" s="13"/>
      <x:c r="J1057" s="13"/>
      <x:c r="K1057" s="13"/>
      <x:c r="L1057" s="13"/>
      <x:c r="M1057" s="13"/>
      <x:c r="N1057" s="13"/>
      <x:c r="O1057" s="13"/>
      <x:c r="P1057" s="13"/>
    </x:row>
    <x:row r="1058">
      <x:c r="E1058" s="13"/>
      <x:c r="F1058" s="13"/>
      <x:c r="G1058" s="13"/>
      <x:c r="H1058" s="13"/>
      <x:c r="I1058" s="13"/>
      <x:c r="J1058" s="13"/>
      <x:c r="K1058" s="13"/>
      <x:c r="L1058" s="13"/>
      <x:c r="M1058" s="13"/>
      <x:c r="N1058" s="13"/>
      <x:c r="O1058" s="13"/>
      <x:c r="P1058" s="13"/>
    </x:row>
    <x:row r="1059">
      <x:c r="E1059" s="13"/>
      <x:c r="F1059" s="13"/>
      <x:c r="G1059" s="13"/>
      <x:c r="H1059" s="13"/>
      <x:c r="I1059" s="13"/>
      <x:c r="J1059" s="13"/>
      <x:c r="K1059" s="13"/>
      <x:c r="L1059" s="13"/>
      <x:c r="M1059" s="13"/>
      <x:c r="N1059" s="13"/>
      <x:c r="O1059" s="13"/>
      <x:c r="P1059" s="13"/>
    </x:row>
    <x:row r="1060">
      <x:c r="E1060" s="13"/>
      <x:c r="F1060" s="13"/>
      <x:c r="G1060" s="13"/>
      <x:c r="H1060" s="13"/>
      <x:c r="I1060" s="13"/>
      <x:c r="J1060" s="13"/>
      <x:c r="K1060" s="13"/>
      <x:c r="L1060" s="13"/>
      <x:c r="M1060" s="13"/>
      <x:c r="N1060" s="13"/>
      <x:c r="O1060" s="13"/>
      <x:c r="P1060" s="13"/>
    </x:row>
    <x:row r="1061">
      <x:c r="E1061" s="13"/>
      <x:c r="F1061" s="13"/>
      <x:c r="G1061" s="13"/>
      <x:c r="H1061" s="13"/>
      <x:c r="I1061" s="13"/>
      <x:c r="J1061" s="13"/>
      <x:c r="K1061" s="13"/>
      <x:c r="L1061" s="13"/>
      <x:c r="M1061" s="13"/>
      <x:c r="N1061" s="13"/>
      <x:c r="O1061" s="13"/>
      <x:c r="P1061" s="13"/>
    </x:row>
    <x:row r="1062">
      <x:c r="E1062" s="13"/>
      <x:c r="F1062" s="13"/>
      <x:c r="G1062" s="13"/>
      <x:c r="H1062" s="13"/>
      <x:c r="I1062" s="13"/>
      <x:c r="J1062" s="13"/>
      <x:c r="K1062" s="13"/>
      <x:c r="L1062" s="13"/>
      <x:c r="M1062" s="13"/>
      <x:c r="N1062" s="13"/>
      <x:c r="O1062" s="13"/>
      <x:c r="P1062" s="13"/>
    </x:row>
    <x:row r="1063">
      <x:c r="E1063" s="13"/>
      <x:c r="F1063" s="13"/>
      <x:c r="G1063" s="13"/>
      <x:c r="H1063" s="13"/>
      <x:c r="I1063" s="13"/>
      <x:c r="J1063" s="13"/>
      <x:c r="K1063" s="13"/>
      <x:c r="L1063" s="13"/>
      <x:c r="M1063" s="13"/>
      <x:c r="N1063" s="13"/>
      <x:c r="O1063" s="13"/>
      <x:c r="P1063" s="13"/>
    </x:row>
    <x:row r="1064">
      <x:c r="E1064" s="13"/>
      <x:c r="F1064" s="13"/>
      <x:c r="G1064" s="13"/>
      <x:c r="H1064" s="13"/>
      <x:c r="I1064" s="13"/>
      <x:c r="J1064" s="13"/>
      <x:c r="K1064" s="13"/>
      <x:c r="L1064" s="13"/>
      <x:c r="M1064" s="13"/>
      <x:c r="N1064" s="13"/>
      <x:c r="O1064" s="13"/>
      <x:c r="P1064" s="13"/>
    </x:row>
    <x:row r="1065">
      <x:c r="E1065" s="13"/>
      <x:c r="F1065" s="13"/>
      <x:c r="G1065" s="13"/>
      <x:c r="H1065" s="13"/>
      <x:c r="I1065" s="13"/>
      <x:c r="J1065" s="13"/>
      <x:c r="K1065" s="13"/>
      <x:c r="L1065" s="13"/>
      <x:c r="M1065" s="13"/>
      <x:c r="N1065" s="13"/>
      <x:c r="O1065" s="13"/>
      <x:c r="P1065" s="13"/>
    </x:row>
    <x:row r="1066">
      <x:c r="E1066" s="13"/>
      <x:c r="F1066" s="13"/>
      <x:c r="G1066" s="13"/>
      <x:c r="H1066" s="13"/>
      <x:c r="I1066" s="13"/>
      <x:c r="J1066" s="13"/>
      <x:c r="K1066" s="13"/>
      <x:c r="L1066" s="13"/>
      <x:c r="M1066" s="13"/>
      <x:c r="N1066" s="13"/>
      <x:c r="O1066" s="13"/>
      <x:c r="P1066" s="13"/>
    </x:row>
    <x:row r="1067">
      <x:c r="E1067" s="13"/>
      <x:c r="F1067" s="13"/>
      <x:c r="G1067" s="13"/>
      <x:c r="H1067" s="13"/>
      <x:c r="I1067" s="13"/>
      <x:c r="J1067" s="13"/>
      <x:c r="K1067" s="13"/>
      <x:c r="L1067" s="13"/>
      <x:c r="M1067" s="13"/>
      <x:c r="N1067" s="13"/>
      <x:c r="O1067" s="13"/>
      <x:c r="P1067" s="13"/>
    </x:row>
    <x:row r="1068">
      <x:c r="E1068" s="13"/>
      <x:c r="F1068" s="13"/>
      <x:c r="G1068" s="13"/>
      <x:c r="H1068" s="13"/>
      <x:c r="I1068" s="13"/>
      <x:c r="J1068" s="13"/>
      <x:c r="K1068" s="13"/>
      <x:c r="L1068" s="13"/>
      <x:c r="M1068" s="13"/>
      <x:c r="N1068" s="13"/>
      <x:c r="O1068" s="13"/>
      <x:c r="P1068" s="13"/>
    </x:row>
    <x:row r="1069">
      <x:c r="E1069" s="13"/>
      <x:c r="F1069" s="13"/>
      <x:c r="G1069" s="13"/>
      <x:c r="H1069" s="13"/>
      <x:c r="I1069" s="13"/>
      <x:c r="J1069" s="13"/>
      <x:c r="K1069" s="13"/>
      <x:c r="L1069" s="13"/>
      <x:c r="M1069" s="13"/>
      <x:c r="N1069" s="13"/>
      <x:c r="O1069" s="13"/>
      <x:c r="P1069" s="13"/>
    </x:row>
    <x:row r="1070">
      <x:c r="E1070" s="13"/>
      <x:c r="F1070" s="13"/>
      <x:c r="G1070" s="13"/>
      <x:c r="H1070" s="13"/>
      <x:c r="I1070" s="13"/>
      <x:c r="J1070" s="13"/>
      <x:c r="K1070" s="13"/>
      <x:c r="L1070" s="13"/>
      <x:c r="M1070" s="13"/>
      <x:c r="N1070" s="13"/>
      <x:c r="O1070" s="13"/>
      <x:c r="P1070" s="13"/>
    </x:row>
    <x:row r="1071">
      <x:c r="E1071" s="13"/>
      <x:c r="F1071" s="13"/>
      <x:c r="G1071" s="13"/>
      <x:c r="H1071" s="13"/>
      <x:c r="I1071" s="13"/>
      <x:c r="J1071" s="13"/>
      <x:c r="K1071" s="13"/>
      <x:c r="L1071" s="13"/>
      <x:c r="M1071" s="13"/>
      <x:c r="N1071" s="13"/>
      <x:c r="O1071" s="13"/>
      <x:c r="P1071" s="13"/>
    </x:row>
    <x:row r="1072">
      <x:c r="E1072" s="13"/>
      <x:c r="F1072" s="13"/>
      <x:c r="G1072" s="13"/>
      <x:c r="H1072" s="13"/>
      <x:c r="I1072" s="13"/>
      <x:c r="J1072" s="13"/>
      <x:c r="K1072" s="13"/>
      <x:c r="L1072" s="13"/>
      <x:c r="M1072" s="13"/>
      <x:c r="N1072" s="13"/>
      <x:c r="O1072" s="13"/>
      <x:c r="P1072" s="13"/>
    </x:row>
    <x:row r="1073">
      <x:c r="E1073" s="13"/>
      <x:c r="F1073" s="13"/>
      <x:c r="G1073" s="13"/>
      <x:c r="H1073" s="13"/>
      <x:c r="I1073" s="13"/>
      <x:c r="J1073" s="13"/>
      <x:c r="K1073" s="13"/>
      <x:c r="L1073" s="13"/>
      <x:c r="M1073" s="13"/>
      <x:c r="N1073" s="13"/>
      <x:c r="O1073" s="13"/>
      <x:c r="P1073" s="13"/>
    </x:row>
    <x:row r="1074">
      <x:c r="E1074" s="13"/>
      <x:c r="F1074" s="13"/>
      <x:c r="G1074" s="13"/>
      <x:c r="H1074" s="13"/>
      <x:c r="I1074" s="13"/>
      <x:c r="J1074" s="13"/>
      <x:c r="K1074" s="13"/>
      <x:c r="L1074" s="13"/>
      <x:c r="M1074" s="13"/>
      <x:c r="N1074" s="13"/>
      <x:c r="O1074" s="13"/>
      <x:c r="P1074" s="13"/>
    </x:row>
    <x:row r="1075">
      <x:c r="E1075" s="13"/>
      <x:c r="F1075" s="13"/>
      <x:c r="G1075" s="13"/>
      <x:c r="H1075" s="13"/>
      <x:c r="I1075" s="13"/>
      <x:c r="J1075" s="13"/>
      <x:c r="K1075" s="13"/>
      <x:c r="L1075" s="13"/>
      <x:c r="M1075" s="13"/>
      <x:c r="N1075" s="13"/>
      <x:c r="O1075" s="13"/>
      <x:c r="P1075" s="13"/>
    </x:row>
    <x:row r="1076">
      <x:c r="E1076" s="13"/>
      <x:c r="F1076" s="13"/>
      <x:c r="G1076" s="13"/>
      <x:c r="H1076" s="13"/>
      <x:c r="I1076" s="13"/>
      <x:c r="J1076" s="13"/>
      <x:c r="K1076" s="13"/>
      <x:c r="L1076" s="13"/>
      <x:c r="M1076" s="13"/>
      <x:c r="N1076" s="13"/>
      <x:c r="O1076" s="13"/>
      <x:c r="P1076" s="13"/>
    </x:row>
    <x:row r="1077">
      <x:c r="E1077" s="13"/>
      <x:c r="F1077" s="13"/>
      <x:c r="G1077" s="13"/>
      <x:c r="H1077" s="13"/>
      <x:c r="I1077" s="13"/>
      <x:c r="J1077" s="13"/>
      <x:c r="K1077" s="13"/>
      <x:c r="L1077" s="13"/>
      <x:c r="M1077" s="13"/>
      <x:c r="N1077" s="13"/>
      <x:c r="O1077" s="13"/>
      <x:c r="P1077" s="13"/>
    </x:row>
    <x:row r="1078">
      <x:c r="E1078" s="13"/>
      <x:c r="F1078" s="13"/>
      <x:c r="G1078" s="13"/>
      <x:c r="H1078" s="13"/>
      <x:c r="I1078" s="13"/>
      <x:c r="J1078" s="13"/>
      <x:c r="K1078" s="13"/>
      <x:c r="L1078" s="13"/>
      <x:c r="M1078" s="13"/>
      <x:c r="N1078" s="13"/>
      <x:c r="O1078" s="13"/>
      <x:c r="P1078" s="13"/>
    </x:row>
    <x:row r="1079">
      <x:c r="E1079" s="13"/>
      <x:c r="F1079" s="13"/>
      <x:c r="G1079" s="13"/>
      <x:c r="H1079" s="13"/>
      <x:c r="I1079" s="13"/>
      <x:c r="J1079" s="13"/>
      <x:c r="K1079" s="13"/>
      <x:c r="L1079" s="13"/>
      <x:c r="M1079" s="13"/>
      <x:c r="N1079" s="13"/>
      <x:c r="O1079" s="13"/>
      <x:c r="P1079" s="13"/>
    </x:row>
    <x:row r="1080">
      <x:c r="E1080" s="13"/>
      <x:c r="F1080" s="13"/>
      <x:c r="G1080" s="13"/>
      <x:c r="H1080" s="13"/>
      <x:c r="I1080" s="13"/>
      <x:c r="J1080" s="13"/>
      <x:c r="K1080" s="13"/>
      <x:c r="L1080" s="13"/>
      <x:c r="M1080" s="13"/>
      <x:c r="N1080" s="13"/>
      <x:c r="O1080" s="13"/>
      <x:c r="P1080" s="13"/>
    </x:row>
    <x:row r="1081">
      <x:c r="E1081" s="13"/>
      <x:c r="F1081" s="13"/>
      <x:c r="G1081" s="13"/>
      <x:c r="H1081" s="13"/>
      <x:c r="I1081" s="13"/>
      <x:c r="J1081" s="13"/>
      <x:c r="K1081" s="13"/>
      <x:c r="L1081" s="13"/>
      <x:c r="M1081" s="13"/>
      <x:c r="N1081" s="13"/>
      <x:c r="O1081" s="13"/>
      <x:c r="P1081" s="13"/>
    </x:row>
    <x:row r="1082">
      <x:c r="E1082" s="13"/>
      <x:c r="F1082" s="13"/>
      <x:c r="G1082" s="13"/>
      <x:c r="H1082" s="13"/>
      <x:c r="I1082" s="13"/>
      <x:c r="J1082" s="13"/>
      <x:c r="K1082" s="13"/>
      <x:c r="L1082" s="13"/>
      <x:c r="M1082" s="13"/>
      <x:c r="N1082" s="13"/>
      <x:c r="O1082" s="13"/>
      <x:c r="P1082" s="13"/>
    </x:row>
    <x:row r="1083">
      <x:c r="E1083" s="13"/>
      <x:c r="F1083" s="13"/>
      <x:c r="G1083" s="13"/>
      <x:c r="H1083" s="13"/>
      <x:c r="I1083" s="13"/>
      <x:c r="J1083" s="13"/>
      <x:c r="K1083" s="13"/>
      <x:c r="L1083" s="13"/>
      <x:c r="M1083" s="13"/>
      <x:c r="N1083" s="13"/>
      <x:c r="O1083" s="13"/>
      <x:c r="P1083" s="13"/>
    </x:row>
    <x:row r="1084">
      <x:c r="E1084" s="13"/>
      <x:c r="F1084" s="13"/>
      <x:c r="G1084" s="13"/>
      <x:c r="H1084" s="13"/>
      <x:c r="I1084" s="13"/>
      <x:c r="J1084" s="13"/>
      <x:c r="K1084" s="13"/>
      <x:c r="L1084" s="13"/>
      <x:c r="M1084" s="13"/>
      <x:c r="N1084" s="13"/>
      <x:c r="O1084" s="13"/>
      <x:c r="P1084" s="13"/>
    </x:row>
    <x:row r="1085">
      <x:c r="E1085" s="13"/>
      <x:c r="F1085" s="13"/>
      <x:c r="G1085" s="13"/>
      <x:c r="H1085" s="13"/>
      <x:c r="I1085" s="13"/>
      <x:c r="J1085" s="13"/>
      <x:c r="K1085" s="13"/>
      <x:c r="L1085" s="13"/>
      <x:c r="M1085" s="13"/>
      <x:c r="N1085" s="13"/>
      <x:c r="O1085" s="13"/>
      <x:c r="P1085" s="13"/>
    </x:row>
    <x:row r="1086">
      <x:c r="E1086" s="13"/>
      <x:c r="F1086" s="13"/>
      <x:c r="G1086" s="13"/>
      <x:c r="H1086" s="13"/>
      <x:c r="I1086" s="13"/>
      <x:c r="J1086" s="13"/>
      <x:c r="K1086" s="13"/>
      <x:c r="L1086" s="13"/>
      <x:c r="M1086" s="13"/>
      <x:c r="N1086" s="13"/>
      <x:c r="O1086" s="13"/>
      <x:c r="P1086" s="13"/>
    </x:row>
    <x:row r="1087">
      <x:c r="E1087" s="13"/>
      <x:c r="F1087" s="13"/>
      <x:c r="G1087" s="13"/>
      <x:c r="H1087" s="13"/>
      <x:c r="I1087" s="13"/>
      <x:c r="J1087" s="13"/>
      <x:c r="K1087" s="13"/>
      <x:c r="L1087" s="13"/>
      <x:c r="M1087" s="13"/>
      <x:c r="N1087" s="13"/>
      <x:c r="O1087" s="13"/>
      <x:c r="P1087" s="13"/>
    </x:row>
    <x:row r="1088">
      <x:c r="E1088" s="13"/>
      <x:c r="F1088" s="13"/>
      <x:c r="G1088" s="13"/>
      <x:c r="H1088" s="13"/>
      <x:c r="I1088" s="13"/>
      <x:c r="J1088" s="13"/>
      <x:c r="K1088" s="13"/>
      <x:c r="L1088" s="13"/>
      <x:c r="M1088" s="13"/>
      <x:c r="N1088" s="13"/>
      <x:c r="O1088" s="13"/>
      <x:c r="P1088" s="13"/>
    </x:row>
    <x:row r="1089">
      <x:c r="E1089" s="13"/>
      <x:c r="F1089" s="13"/>
      <x:c r="G1089" s="13"/>
      <x:c r="H1089" s="13"/>
      <x:c r="I1089" s="13"/>
      <x:c r="J1089" s="13"/>
      <x:c r="K1089" s="13"/>
      <x:c r="L1089" s="13"/>
      <x:c r="M1089" s="13"/>
      <x:c r="N1089" s="13"/>
      <x:c r="O1089" s="13"/>
      <x:c r="P1089" s="13"/>
    </x:row>
    <x:row r="1090">
      <x:c r="E1090" s="13"/>
      <x:c r="F1090" s="13"/>
      <x:c r="G1090" s="13"/>
      <x:c r="H1090" s="13"/>
      <x:c r="I1090" s="13"/>
      <x:c r="J1090" s="13"/>
      <x:c r="K1090" s="13"/>
      <x:c r="L1090" s="13"/>
      <x:c r="M1090" s="13"/>
      <x:c r="N1090" s="13"/>
      <x:c r="O1090" s="13"/>
      <x:c r="P1090" s="13"/>
    </x:row>
    <x:row r="1091">
      <x:c r="E1091" s="13"/>
      <x:c r="F1091" s="13"/>
      <x:c r="G1091" s="13"/>
      <x:c r="H1091" s="13"/>
      <x:c r="I1091" s="13"/>
      <x:c r="J1091" s="13"/>
      <x:c r="K1091" s="13"/>
      <x:c r="L1091" s="13"/>
      <x:c r="M1091" s="13"/>
      <x:c r="N1091" s="13"/>
      <x:c r="O1091" s="13"/>
      <x:c r="P1091" s="13"/>
    </x:row>
    <x:row r="1092">
      <x:c r="E1092" s="13"/>
      <x:c r="F1092" s="13"/>
      <x:c r="G1092" s="13"/>
      <x:c r="H1092" s="13"/>
      <x:c r="I1092" s="13"/>
      <x:c r="J1092" s="13"/>
      <x:c r="K1092" s="13"/>
      <x:c r="L1092" s="13"/>
      <x:c r="M1092" s="13"/>
      <x:c r="N1092" s="13"/>
      <x:c r="O1092" s="13"/>
      <x:c r="P1092" s="13"/>
    </x:row>
    <x:row r="1093">
      <x:c r="E1093" s="13"/>
      <x:c r="F1093" s="13"/>
      <x:c r="G1093" s="13"/>
      <x:c r="H1093" s="13"/>
      <x:c r="I1093" s="13"/>
      <x:c r="J1093" s="13"/>
      <x:c r="K1093" s="13"/>
      <x:c r="L1093" s="13"/>
      <x:c r="M1093" s="13"/>
      <x:c r="N1093" s="13"/>
      <x:c r="O1093" s="13"/>
      <x:c r="P1093" s="13"/>
    </x:row>
    <x:row r="1094">
      <x:c r="E1094" s="13"/>
      <x:c r="F1094" s="13"/>
      <x:c r="G1094" s="13"/>
      <x:c r="H1094" s="13"/>
      <x:c r="I1094" s="13"/>
      <x:c r="J1094" s="13"/>
      <x:c r="K1094" s="13"/>
      <x:c r="L1094" s="13"/>
      <x:c r="M1094" s="13"/>
      <x:c r="N1094" s="13"/>
      <x:c r="O1094" s="13"/>
      <x:c r="P1094" s="13"/>
    </x:row>
    <x:row r="1095">
      <x:c r="E1095" s="13"/>
      <x:c r="F1095" s="13"/>
      <x:c r="G1095" s="13"/>
      <x:c r="H1095" s="13"/>
      <x:c r="I1095" s="13"/>
      <x:c r="J1095" s="13"/>
      <x:c r="K1095" s="13"/>
      <x:c r="L1095" s="13"/>
      <x:c r="M1095" s="13"/>
      <x:c r="N1095" s="13"/>
      <x:c r="O1095" s="13"/>
      <x:c r="P1095" s="13"/>
    </x:row>
    <x:row r="1096">
      <x:c r="E1096" s="13"/>
      <x:c r="F1096" s="13"/>
      <x:c r="G1096" s="13"/>
      <x:c r="H1096" s="13"/>
      <x:c r="I1096" s="13"/>
      <x:c r="J1096" s="13"/>
      <x:c r="K1096" s="13"/>
      <x:c r="L1096" s="13"/>
      <x:c r="M1096" s="13"/>
      <x:c r="N1096" s="13"/>
      <x:c r="O1096" s="13"/>
      <x:c r="P1096" s="13"/>
    </x:row>
    <x:row r="1097">
      <x:c r="E1097" s="13"/>
      <x:c r="F1097" s="13"/>
      <x:c r="G1097" s="13"/>
      <x:c r="H1097" s="13"/>
      <x:c r="I1097" s="13"/>
      <x:c r="J1097" s="13"/>
      <x:c r="K1097" s="13"/>
      <x:c r="L1097" s="13"/>
      <x:c r="M1097" s="13"/>
      <x:c r="N1097" s="13"/>
      <x:c r="O1097" s="13"/>
      <x:c r="P1097" s="13"/>
    </x:row>
    <x:row r="1098">
      <x:c r="E1098" s="13"/>
      <x:c r="F1098" s="13"/>
      <x:c r="G1098" s="13"/>
      <x:c r="H1098" s="13"/>
      <x:c r="I1098" s="13"/>
      <x:c r="J1098" s="13"/>
      <x:c r="K1098" s="13"/>
      <x:c r="L1098" s="13"/>
      <x:c r="M1098" s="13"/>
      <x:c r="N1098" s="13"/>
      <x:c r="O1098" s="13"/>
      <x:c r="P1098" s="13"/>
    </x:row>
    <x:row r="1099">
      <x:c r="E1099" s="13"/>
      <x:c r="F1099" s="13"/>
      <x:c r="G1099" s="13"/>
      <x:c r="H1099" s="13"/>
      <x:c r="I1099" s="13"/>
      <x:c r="J1099" s="13"/>
      <x:c r="K1099" s="13"/>
      <x:c r="L1099" s="13"/>
      <x:c r="M1099" s="13"/>
      <x:c r="N1099" s="13"/>
      <x:c r="O1099" s="13"/>
      <x:c r="P1099" s="13"/>
    </x:row>
    <x:row r="1100">
      <x:c r="E1100" s="13"/>
      <x:c r="F1100" s="13"/>
      <x:c r="G1100" s="13"/>
      <x:c r="H1100" s="13"/>
      <x:c r="I1100" s="13"/>
      <x:c r="J1100" s="13"/>
      <x:c r="K1100" s="13"/>
      <x:c r="L1100" s="13"/>
      <x:c r="M1100" s="13"/>
      <x:c r="N1100" s="13"/>
      <x:c r="O1100" s="13"/>
      <x:c r="P1100" s="13"/>
    </x:row>
    <x:row r="1101">
      <x:c r="E1101" s="13"/>
      <x:c r="F1101" s="13"/>
      <x:c r="G1101" s="13"/>
      <x:c r="H1101" s="13"/>
      <x:c r="I1101" s="13"/>
      <x:c r="J1101" s="13"/>
      <x:c r="K1101" s="13"/>
      <x:c r="L1101" s="13"/>
      <x:c r="M1101" s="13"/>
      <x:c r="N1101" s="13"/>
      <x:c r="O1101" s="13"/>
      <x:c r="P1101" s="13"/>
    </x:row>
    <x:row r="1102">
      <x:c r="E1102" s="13"/>
      <x:c r="F1102" s="13"/>
      <x:c r="G1102" s="13"/>
      <x:c r="H1102" s="13"/>
      <x:c r="I1102" s="13"/>
      <x:c r="J1102" s="13"/>
      <x:c r="K1102" s="13"/>
      <x:c r="L1102" s="13"/>
      <x:c r="M1102" s="13"/>
      <x:c r="N1102" s="13"/>
      <x:c r="O1102" s="13"/>
      <x:c r="P1102" s="13"/>
    </x:row>
    <x:row r="1103">
      <x:c r="E1103" s="13"/>
      <x:c r="F1103" s="13"/>
      <x:c r="G1103" s="13"/>
      <x:c r="H1103" s="13"/>
      <x:c r="I1103" s="13"/>
      <x:c r="J1103" s="13"/>
      <x:c r="K1103" s="13"/>
      <x:c r="L1103" s="13"/>
      <x:c r="M1103" s="13"/>
      <x:c r="N1103" s="13"/>
      <x:c r="O1103" s="13"/>
      <x:c r="P1103" s="13"/>
    </x:row>
    <x:row r="1104">
      <x:c r="E1104" s="13"/>
      <x:c r="F1104" s="13"/>
      <x:c r="G1104" s="13"/>
      <x:c r="H1104" s="13"/>
      <x:c r="I1104" s="13"/>
      <x:c r="J1104" s="13"/>
      <x:c r="K1104" s="13"/>
      <x:c r="L1104" s="13"/>
      <x:c r="M1104" s="13"/>
      <x:c r="N1104" s="13"/>
      <x:c r="O1104" s="13"/>
      <x:c r="P1104" s="13"/>
    </x:row>
    <x:row r="1105">
      <x:c r="E1105" s="13"/>
      <x:c r="F1105" s="13"/>
      <x:c r="G1105" s="13"/>
      <x:c r="H1105" s="13"/>
      <x:c r="I1105" s="13"/>
      <x:c r="J1105" s="13"/>
      <x:c r="K1105" s="13"/>
      <x:c r="L1105" s="13"/>
      <x:c r="M1105" s="13"/>
      <x:c r="N1105" s="13"/>
      <x:c r="O1105" s="13"/>
      <x:c r="P1105" s="13"/>
    </x:row>
    <x:row r="1106">
      <x:c r="E1106" s="13"/>
      <x:c r="F1106" s="13"/>
      <x:c r="G1106" s="13"/>
      <x:c r="H1106" s="13"/>
      <x:c r="I1106" s="13"/>
      <x:c r="J1106" s="13"/>
      <x:c r="K1106" s="13"/>
      <x:c r="L1106" s="13"/>
      <x:c r="M1106" s="13"/>
      <x:c r="N1106" s="13"/>
      <x:c r="O1106" s="13"/>
      <x:c r="P1106" s="13"/>
    </x:row>
    <x:row r="1107">
      <x:c r="E1107" s="13"/>
      <x:c r="F1107" s="13"/>
      <x:c r="G1107" s="13"/>
      <x:c r="H1107" s="13"/>
      <x:c r="I1107" s="13"/>
      <x:c r="J1107" s="13"/>
      <x:c r="K1107" s="13"/>
      <x:c r="L1107" s="13"/>
      <x:c r="M1107" s="13"/>
      <x:c r="N1107" s="13"/>
      <x:c r="O1107" s="13"/>
      <x:c r="P1107" s="13"/>
    </x:row>
    <x:row r="1108">
      <x:c r="E1108" s="13"/>
      <x:c r="F1108" s="13"/>
      <x:c r="G1108" s="13"/>
      <x:c r="H1108" s="13"/>
      <x:c r="I1108" s="13"/>
      <x:c r="J1108" s="13"/>
      <x:c r="K1108" s="13"/>
      <x:c r="L1108" s="13"/>
      <x:c r="M1108" s="13"/>
      <x:c r="N1108" s="13"/>
      <x:c r="O1108" s="13"/>
      <x:c r="P1108" s="13"/>
    </x:row>
    <x:row r="1109">
      <x:c r="E1109" s="13"/>
      <x:c r="F1109" s="13"/>
      <x:c r="G1109" s="13"/>
      <x:c r="H1109" s="13"/>
      <x:c r="I1109" s="13"/>
      <x:c r="J1109" s="13"/>
      <x:c r="K1109" s="13"/>
      <x:c r="L1109" s="13"/>
      <x:c r="M1109" s="13"/>
      <x:c r="N1109" s="13"/>
      <x:c r="O1109" s="13"/>
      <x:c r="P1109" s="13"/>
    </x:row>
    <x:row r="1110">
      <x:c r="E1110" s="13"/>
      <x:c r="F1110" s="13"/>
      <x:c r="G1110" s="13"/>
      <x:c r="H1110" s="13"/>
      <x:c r="I1110" s="13"/>
      <x:c r="J1110" s="13"/>
      <x:c r="K1110" s="13"/>
      <x:c r="L1110" s="13"/>
      <x:c r="M1110" s="13"/>
      <x:c r="N1110" s="13"/>
      <x:c r="O1110" s="13"/>
      <x:c r="P1110" s="13"/>
    </x:row>
    <x:row r="1111">
      <x:c r="E1111" s="13"/>
      <x:c r="F1111" s="13"/>
      <x:c r="G1111" s="13"/>
      <x:c r="H1111" s="13"/>
      <x:c r="I1111" s="13"/>
      <x:c r="J1111" s="13"/>
      <x:c r="K1111" s="13"/>
      <x:c r="L1111" s="13"/>
      <x:c r="M1111" s="13"/>
      <x:c r="N1111" s="13"/>
      <x:c r="O1111" s="13"/>
      <x:c r="P1111" s="13"/>
    </x:row>
    <x:row r="1112">
      <x:c r="E1112" s="13"/>
      <x:c r="F1112" s="13"/>
      <x:c r="G1112" s="13"/>
      <x:c r="H1112" s="13"/>
      <x:c r="I1112" s="13"/>
      <x:c r="J1112" s="13"/>
      <x:c r="K1112" s="13"/>
      <x:c r="L1112" s="13"/>
      <x:c r="M1112" s="13"/>
      <x:c r="N1112" s="13"/>
      <x:c r="O1112" s="13"/>
      <x:c r="P1112" s="13"/>
    </x:row>
    <x:row r="1113">
      <x:c r="E1113" s="13"/>
      <x:c r="F1113" s="13"/>
      <x:c r="G1113" s="13"/>
      <x:c r="H1113" s="13"/>
      <x:c r="I1113" s="13"/>
      <x:c r="J1113" s="13"/>
      <x:c r="K1113" s="13"/>
      <x:c r="L1113" s="13"/>
      <x:c r="M1113" s="13"/>
      <x:c r="N1113" s="13"/>
      <x:c r="O1113" s="13"/>
      <x:c r="P1113" s="13"/>
    </x:row>
    <x:row r="1114">
      <x:c r="E1114" s="13"/>
      <x:c r="F1114" s="13"/>
      <x:c r="G1114" s="13"/>
      <x:c r="H1114" s="13"/>
      <x:c r="I1114" s="13"/>
      <x:c r="J1114" s="13"/>
      <x:c r="K1114" s="13"/>
      <x:c r="L1114" s="13"/>
      <x:c r="M1114" s="13"/>
      <x:c r="N1114" s="13"/>
      <x:c r="O1114" s="13"/>
      <x:c r="P1114" s="13"/>
    </x:row>
    <x:row r="1115">
      <x:c r="E1115" s="13"/>
      <x:c r="F1115" s="13"/>
      <x:c r="G1115" s="13"/>
      <x:c r="H1115" s="13"/>
      <x:c r="I1115" s="13"/>
      <x:c r="J1115" s="13"/>
      <x:c r="K1115" s="13"/>
      <x:c r="L1115" s="13"/>
      <x:c r="M1115" s="13"/>
      <x:c r="N1115" s="13"/>
      <x:c r="O1115" s="13"/>
      <x:c r="P1115" s="13"/>
    </x:row>
    <x:row r="1116">
      <x:c r="E1116" s="13"/>
      <x:c r="F1116" s="13"/>
      <x:c r="G1116" s="13"/>
      <x:c r="H1116" s="13"/>
      <x:c r="I1116" s="13"/>
      <x:c r="J1116" s="13"/>
      <x:c r="K1116" s="13"/>
      <x:c r="L1116" s="13"/>
      <x:c r="M1116" s="13"/>
      <x:c r="N1116" s="13"/>
      <x:c r="O1116" s="13"/>
      <x:c r="P1116" s="13"/>
    </x:row>
    <x:row r="1117">
      <x:c r="E1117" s="13"/>
      <x:c r="F1117" s="13"/>
      <x:c r="G1117" s="13"/>
      <x:c r="H1117" s="13"/>
      <x:c r="I1117" s="13"/>
      <x:c r="J1117" s="13"/>
      <x:c r="K1117" s="13"/>
      <x:c r="L1117" s="13"/>
      <x:c r="M1117" s="13"/>
      <x:c r="N1117" s="13"/>
      <x:c r="O1117" s="13"/>
      <x:c r="P1117" s="13"/>
    </x:row>
    <x:row r="1118">
      <x:c r="E1118" s="13"/>
      <x:c r="F1118" s="13"/>
      <x:c r="G1118" s="13"/>
      <x:c r="H1118" s="13"/>
      <x:c r="I1118" s="13"/>
      <x:c r="J1118" s="13"/>
      <x:c r="K1118" s="13"/>
      <x:c r="L1118" s="13"/>
      <x:c r="M1118" s="13"/>
      <x:c r="N1118" s="13"/>
      <x:c r="O1118" s="13"/>
      <x:c r="P1118" s="13"/>
    </x:row>
    <x:row r="1119">
      <x:c r="E1119" s="13"/>
      <x:c r="F1119" s="13"/>
      <x:c r="G1119" s="13"/>
      <x:c r="H1119" s="13"/>
      <x:c r="I1119" s="13"/>
      <x:c r="J1119" s="13"/>
      <x:c r="K1119" s="13"/>
      <x:c r="L1119" s="13"/>
      <x:c r="M1119" s="13"/>
      <x:c r="N1119" s="13"/>
      <x:c r="O1119" s="13"/>
      <x:c r="P1119" s="13"/>
    </x:row>
    <x:row r="1120">
      <x:c r="E1120" s="13"/>
      <x:c r="F1120" s="13"/>
      <x:c r="G1120" s="13"/>
      <x:c r="H1120" s="13"/>
      <x:c r="I1120" s="13"/>
      <x:c r="J1120" s="13"/>
      <x:c r="K1120" s="13"/>
      <x:c r="L1120" s="13"/>
      <x:c r="M1120" s="13"/>
      <x:c r="N1120" s="13"/>
      <x:c r="O1120" s="13"/>
      <x:c r="P1120" s="13"/>
    </x:row>
    <x:row r="1121">
      <x:c r="E1121" s="13"/>
      <x:c r="F1121" s="13"/>
      <x:c r="G1121" s="13"/>
      <x:c r="H1121" s="13"/>
      <x:c r="I1121" s="13"/>
      <x:c r="J1121" s="13"/>
      <x:c r="K1121" s="13"/>
      <x:c r="L1121" s="13"/>
      <x:c r="M1121" s="13"/>
      <x:c r="N1121" s="13"/>
      <x:c r="O1121" s="13"/>
      <x:c r="P1121" s="13"/>
    </x:row>
    <x:row r="1122">
      <x:c r="E1122" s="13"/>
      <x:c r="F1122" s="13"/>
      <x:c r="G1122" s="13"/>
      <x:c r="H1122" s="13"/>
      <x:c r="I1122" s="13"/>
      <x:c r="J1122" s="13"/>
      <x:c r="K1122" s="13"/>
      <x:c r="L1122" s="13"/>
      <x:c r="M1122" s="13"/>
      <x:c r="N1122" s="13"/>
      <x:c r="O1122" s="13"/>
      <x:c r="P1122" s="13"/>
    </x:row>
    <x:row r="1123">
      <x:c r="E1123" s="13"/>
      <x:c r="F1123" s="13"/>
      <x:c r="G1123" s="13"/>
      <x:c r="H1123" s="13"/>
      <x:c r="I1123" s="13"/>
      <x:c r="J1123" s="13"/>
      <x:c r="K1123" s="13"/>
      <x:c r="L1123" s="13"/>
      <x:c r="M1123" s="13"/>
      <x:c r="N1123" s="13"/>
      <x:c r="O1123" s="13"/>
      <x:c r="P1123" s="13"/>
    </x:row>
    <x:row r="1124">
      <x:c r="E1124" s="13"/>
      <x:c r="F1124" s="13"/>
      <x:c r="G1124" s="13"/>
      <x:c r="H1124" s="13"/>
      <x:c r="I1124" s="13"/>
      <x:c r="J1124" s="13"/>
      <x:c r="K1124" s="13"/>
      <x:c r="L1124" s="13"/>
      <x:c r="M1124" s="13"/>
      <x:c r="N1124" s="13"/>
      <x:c r="O1124" s="13"/>
      <x:c r="P1124" s="13"/>
    </x:row>
    <x:row r="1125">
      <x:c r="E1125" s="13"/>
      <x:c r="F1125" s="13"/>
      <x:c r="G1125" s="13"/>
      <x:c r="H1125" s="13"/>
      <x:c r="I1125" s="13"/>
      <x:c r="J1125" s="13"/>
      <x:c r="K1125" s="13"/>
      <x:c r="L1125" s="13"/>
      <x:c r="M1125" s="13"/>
      <x:c r="N1125" s="13"/>
      <x:c r="O1125" s="13"/>
      <x:c r="P1125" s="13"/>
    </x:row>
    <x:row r="1126">
      <x:c r="E1126" s="13"/>
      <x:c r="F1126" s="13"/>
      <x:c r="G1126" s="13"/>
      <x:c r="H1126" s="13"/>
      <x:c r="I1126" s="13"/>
      <x:c r="J1126" s="13"/>
      <x:c r="K1126" s="13"/>
      <x:c r="L1126" s="13"/>
      <x:c r="M1126" s="13"/>
      <x:c r="N1126" s="13"/>
      <x:c r="O1126" s="13"/>
      <x:c r="P1126" s="13"/>
    </x:row>
    <x:row r="1127">
      <x:c r="E1127" s="13"/>
      <x:c r="F1127" s="13"/>
      <x:c r="G1127" s="13"/>
      <x:c r="H1127" s="13"/>
      <x:c r="I1127" s="13"/>
      <x:c r="J1127" s="13"/>
      <x:c r="K1127" s="13"/>
      <x:c r="L1127" s="13"/>
      <x:c r="M1127" s="13"/>
      <x:c r="N1127" s="13"/>
      <x:c r="O1127" s="13"/>
      <x:c r="P1127" s="13"/>
    </x:row>
    <x:row r="1128">
      <x:c r="E1128" s="13"/>
      <x:c r="F1128" s="13"/>
      <x:c r="G1128" s="13"/>
      <x:c r="H1128" s="13"/>
      <x:c r="I1128" s="13"/>
      <x:c r="J1128" s="13"/>
      <x:c r="K1128" s="13"/>
      <x:c r="L1128" s="13"/>
      <x:c r="M1128" s="13"/>
      <x:c r="N1128" s="13"/>
      <x:c r="O1128" s="13"/>
      <x:c r="P1128" s="13"/>
    </x:row>
    <x:row r="1129">
      <x:c r="E1129" s="13"/>
      <x:c r="F1129" s="13"/>
      <x:c r="G1129" s="13"/>
      <x:c r="H1129" s="13"/>
      <x:c r="I1129" s="13"/>
      <x:c r="J1129" s="13"/>
      <x:c r="K1129" s="13"/>
      <x:c r="L1129" s="13"/>
      <x:c r="M1129" s="13"/>
      <x:c r="N1129" s="13"/>
      <x:c r="O1129" s="13"/>
      <x:c r="P1129" s="13"/>
    </x:row>
    <x:row r="1130">
      <x:c r="E1130" s="13"/>
      <x:c r="F1130" s="13"/>
      <x:c r="G1130" s="13"/>
      <x:c r="H1130" s="13"/>
      <x:c r="I1130" s="13"/>
      <x:c r="J1130" s="13"/>
      <x:c r="K1130" s="13"/>
      <x:c r="L1130" s="13"/>
      <x:c r="M1130" s="13"/>
      <x:c r="N1130" s="13"/>
      <x:c r="O1130" s="13"/>
      <x:c r="P1130" s="13"/>
    </x:row>
    <x:row r="1131">
      <x:c r="E1131" s="13"/>
      <x:c r="F1131" s="13"/>
      <x:c r="G1131" s="13"/>
      <x:c r="H1131" s="13"/>
      <x:c r="I1131" s="13"/>
      <x:c r="J1131" s="13"/>
      <x:c r="K1131" s="13"/>
      <x:c r="L1131" s="13"/>
      <x:c r="M1131" s="13"/>
      <x:c r="N1131" s="13"/>
      <x:c r="O1131" s="13"/>
      <x:c r="P1131" s="13"/>
    </x:row>
    <x:row r="1132">
      <x:c r="E1132" s="13"/>
      <x:c r="F1132" s="13"/>
      <x:c r="G1132" s="13"/>
      <x:c r="H1132" s="13"/>
      <x:c r="I1132" s="13"/>
      <x:c r="J1132" s="13"/>
      <x:c r="K1132" s="13"/>
      <x:c r="L1132" s="13"/>
      <x:c r="M1132" s="13"/>
      <x:c r="N1132" s="13"/>
      <x:c r="O1132" s="13"/>
      <x:c r="P1132" s="13"/>
    </x:row>
    <x:row r="1133">
      <x:c r="E1133" s="13"/>
      <x:c r="F1133" s="13"/>
      <x:c r="G1133" s="13"/>
      <x:c r="H1133" s="13"/>
      <x:c r="I1133" s="13"/>
      <x:c r="J1133" s="13"/>
      <x:c r="K1133" s="13"/>
      <x:c r="L1133" s="13"/>
      <x:c r="M1133" s="13"/>
      <x:c r="N1133" s="13"/>
      <x:c r="O1133" s="13"/>
      <x:c r="P1133" s="13"/>
    </x:row>
    <x:row r="1134">
      <x:c r="E1134" s="13"/>
      <x:c r="F1134" s="13"/>
      <x:c r="G1134" s="13"/>
      <x:c r="H1134" s="13"/>
      <x:c r="I1134" s="13"/>
      <x:c r="J1134" s="13"/>
      <x:c r="K1134" s="13"/>
      <x:c r="L1134" s="13"/>
      <x:c r="M1134" s="13"/>
      <x:c r="N1134" s="13"/>
      <x:c r="O1134" s="13"/>
      <x:c r="P1134" s="13"/>
    </x:row>
    <x:row r="1135">
      <x:c r="E1135" s="13"/>
      <x:c r="F1135" s="13"/>
      <x:c r="G1135" s="13"/>
      <x:c r="H1135" s="13"/>
      <x:c r="I1135" s="13"/>
      <x:c r="J1135" s="13"/>
      <x:c r="K1135" s="13"/>
      <x:c r="L1135" s="13"/>
      <x:c r="M1135" s="13"/>
      <x:c r="N1135" s="13"/>
      <x:c r="O1135" s="13"/>
      <x:c r="P1135" s="13"/>
    </x:row>
    <x:row r="1136">
      <x:c r="E1136" s="13"/>
      <x:c r="F1136" s="13"/>
      <x:c r="G1136" s="13"/>
      <x:c r="H1136" s="13"/>
      <x:c r="I1136" s="13"/>
      <x:c r="J1136" s="13"/>
      <x:c r="K1136" s="13"/>
      <x:c r="L1136" s="13"/>
      <x:c r="M1136" s="13"/>
      <x:c r="N1136" s="13"/>
      <x:c r="O1136" s="13"/>
      <x:c r="P1136" s="13"/>
    </x:row>
    <x:row r="1137">
      <x:c r="E1137" s="13"/>
      <x:c r="F1137" s="13"/>
      <x:c r="G1137" s="13"/>
      <x:c r="H1137" s="13"/>
      <x:c r="I1137" s="13"/>
      <x:c r="J1137" s="13"/>
      <x:c r="K1137" s="13"/>
      <x:c r="L1137" s="13"/>
      <x:c r="M1137" s="13"/>
      <x:c r="N1137" s="13"/>
      <x:c r="O1137" s="13"/>
      <x:c r="P1137" s="13"/>
    </x:row>
    <x:row r="1138">
      <x:c r="E1138" s="13"/>
      <x:c r="F1138" s="13"/>
      <x:c r="G1138" s="13"/>
      <x:c r="H1138" s="13"/>
      <x:c r="I1138" s="13"/>
      <x:c r="J1138" s="13"/>
      <x:c r="K1138" s="13"/>
      <x:c r="L1138" s="13"/>
      <x:c r="M1138" s="13"/>
      <x:c r="N1138" s="13"/>
      <x:c r="O1138" s="13"/>
      <x:c r="P1138" s="13"/>
    </x:row>
    <x:row r="1139">
      <x:c r="E1139" s="13"/>
      <x:c r="F1139" s="13"/>
      <x:c r="G1139" s="13"/>
      <x:c r="H1139" s="13"/>
      <x:c r="I1139" s="13"/>
      <x:c r="J1139" s="13"/>
      <x:c r="K1139" s="13"/>
      <x:c r="L1139" s="13"/>
      <x:c r="M1139" s="13"/>
      <x:c r="N1139" s="13"/>
      <x:c r="O1139" s="13"/>
      <x:c r="P1139" s="13"/>
    </x:row>
    <x:row r="1140">
      <x:c r="E1140" s="13"/>
      <x:c r="F1140" s="13"/>
      <x:c r="G1140" s="13"/>
      <x:c r="H1140" s="13"/>
      <x:c r="I1140" s="13"/>
      <x:c r="J1140" s="13"/>
      <x:c r="K1140" s="13"/>
      <x:c r="L1140" s="13"/>
      <x:c r="M1140" s="13"/>
      <x:c r="N1140" s="13"/>
      <x:c r="O1140" s="13"/>
      <x:c r="P1140" s="13"/>
    </x:row>
    <x:row r="1141">
      <x:c r="E1141" s="13"/>
      <x:c r="F1141" s="13"/>
      <x:c r="G1141" s="13"/>
      <x:c r="H1141" s="13"/>
      <x:c r="I1141" s="13"/>
      <x:c r="J1141" s="13"/>
      <x:c r="K1141" s="13"/>
      <x:c r="L1141" s="13"/>
      <x:c r="M1141" s="13"/>
      <x:c r="N1141" s="13"/>
      <x:c r="O1141" s="13"/>
      <x:c r="P1141" s="13"/>
    </x:row>
    <x:row r="1142">
      <x:c r="E1142" s="13"/>
      <x:c r="F1142" s="13"/>
      <x:c r="G1142" s="13"/>
      <x:c r="H1142" s="13"/>
      <x:c r="I1142" s="13"/>
      <x:c r="J1142" s="13"/>
      <x:c r="K1142" s="13"/>
      <x:c r="L1142" s="13"/>
      <x:c r="M1142" s="13"/>
      <x:c r="N1142" s="13"/>
      <x:c r="O1142" s="13"/>
      <x:c r="P1142" s="13"/>
    </x:row>
    <x:row r="1143">
      <x:c r="E1143" s="13"/>
      <x:c r="F1143" s="13"/>
      <x:c r="G1143" s="13"/>
      <x:c r="H1143" s="13"/>
      <x:c r="I1143" s="13"/>
      <x:c r="J1143" s="13"/>
      <x:c r="K1143" s="13"/>
      <x:c r="L1143" s="13"/>
      <x:c r="M1143" s="13"/>
      <x:c r="N1143" s="13"/>
      <x:c r="O1143" s="13"/>
      <x:c r="P1143" s="13"/>
    </x:row>
    <x:row r="1144">
      <x:c r="E1144" s="13"/>
      <x:c r="F1144" s="13"/>
      <x:c r="G1144" s="13"/>
      <x:c r="H1144" s="13"/>
      <x:c r="I1144" s="13"/>
      <x:c r="J1144" s="13"/>
      <x:c r="K1144" s="13"/>
      <x:c r="L1144" s="13"/>
      <x:c r="M1144" s="13"/>
      <x:c r="N1144" s="13"/>
      <x:c r="O1144" s="13"/>
      <x:c r="P1144" s="13"/>
    </x:row>
    <x:row r="1145">
      <x:c r="E1145" s="13"/>
      <x:c r="F1145" s="13"/>
      <x:c r="G1145" s="13"/>
      <x:c r="H1145" s="13"/>
      <x:c r="I1145" s="13"/>
      <x:c r="J1145" s="13"/>
      <x:c r="K1145" s="13"/>
      <x:c r="L1145" s="13"/>
      <x:c r="M1145" s="13"/>
      <x:c r="N1145" s="13"/>
      <x:c r="O1145" s="13"/>
      <x:c r="P1145" s="13"/>
    </x:row>
    <x:row r="1146">
      <x:c r="E1146" s="13"/>
      <x:c r="F1146" s="13"/>
      <x:c r="G1146" s="13"/>
      <x:c r="H1146" s="13"/>
      <x:c r="I1146" s="13"/>
      <x:c r="J1146" s="13"/>
      <x:c r="K1146" s="13"/>
      <x:c r="L1146" s="13"/>
      <x:c r="M1146" s="13"/>
      <x:c r="N1146" s="13"/>
      <x:c r="O1146" s="13"/>
      <x:c r="P1146" s="13"/>
    </x:row>
    <x:row r="1147">
      <x:c r="E1147" s="13"/>
      <x:c r="F1147" s="13"/>
      <x:c r="G1147" s="13"/>
      <x:c r="H1147" s="13"/>
      <x:c r="I1147" s="13"/>
      <x:c r="J1147" s="13"/>
      <x:c r="K1147" s="13"/>
      <x:c r="L1147" s="13"/>
      <x:c r="M1147" s="13"/>
      <x:c r="N1147" s="13"/>
      <x:c r="O1147" s="13"/>
      <x:c r="P1147" s="13"/>
    </x:row>
    <x:row r="1148">
      <x:c r="E1148" s="13"/>
      <x:c r="F1148" s="13"/>
      <x:c r="G1148" s="13"/>
      <x:c r="H1148" s="13"/>
      <x:c r="I1148" s="13"/>
      <x:c r="J1148" s="13"/>
      <x:c r="K1148" s="13"/>
      <x:c r="L1148" s="13"/>
      <x:c r="M1148" s="13"/>
      <x:c r="N1148" s="13"/>
      <x:c r="O1148" s="13"/>
      <x:c r="P1148" s="13"/>
    </x:row>
    <x:row r="1149">
      <x:c r="E1149" s="13"/>
      <x:c r="F1149" s="13"/>
      <x:c r="G1149" s="13"/>
      <x:c r="H1149" s="13"/>
      <x:c r="I1149" s="13"/>
      <x:c r="J1149" s="13"/>
      <x:c r="K1149" s="13"/>
      <x:c r="L1149" s="13"/>
      <x:c r="M1149" s="13"/>
      <x:c r="N1149" s="13"/>
      <x:c r="O1149" s="13"/>
      <x:c r="P1149" s="13"/>
    </x:row>
    <x:row r="1150">
      <x:c r="E1150" s="13"/>
      <x:c r="F1150" s="13"/>
      <x:c r="G1150" s="13"/>
      <x:c r="H1150" s="13"/>
      <x:c r="I1150" s="13"/>
      <x:c r="J1150" s="13"/>
      <x:c r="K1150" s="13"/>
      <x:c r="L1150" s="13"/>
      <x:c r="M1150" s="13"/>
      <x:c r="N1150" s="13"/>
      <x:c r="O1150" s="13"/>
      <x:c r="P1150" s="13"/>
    </x:row>
    <x:row r="1151">
      <x:c r="E1151" s="13"/>
      <x:c r="F1151" s="13"/>
      <x:c r="G1151" s="13"/>
      <x:c r="H1151" s="13"/>
      <x:c r="I1151" s="13"/>
      <x:c r="J1151" s="13"/>
      <x:c r="K1151" s="13"/>
      <x:c r="L1151" s="13"/>
      <x:c r="M1151" s="13"/>
      <x:c r="N1151" s="13"/>
      <x:c r="O1151" s="13"/>
      <x:c r="P1151" s="13"/>
    </x:row>
    <x:row r="1152">
      <x:c r="E1152" s="13"/>
      <x:c r="F1152" s="13"/>
      <x:c r="G1152" s="13"/>
      <x:c r="H1152" s="13"/>
      <x:c r="I1152" s="13"/>
      <x:c r="J1152" s="13"/>
      <x:c r="K1152" s="13"/>
      <x:c r="L1152" s="13"/>
      <x:c r="M1152" s="13"/>
      <x:c r="N1152" s="13"/>
      <x:c r="O1152" s="13"/>
      <x:c r="P1152" s="13"/>
    </x:row>
    <x:row r="1153">
      <x:c r="E1153" s="13"/>
      <x:c r="F1153" s="13"/>
      <x:c r="G1153" s="13"/>
      <x:c r="H1153" s="13"/>
      <x:c r="I1153" s="13"/>
      <x:c r="J1153" s="13"/>
      <x:c r="K1153" s="13"/>
      <x:c r="L1153" s="13"/>
      <x:c r="M1153" s="13"/>
      <x:c r="N1153" s="13"/>
      <x:c r="O1153" s="13"/>
      <x:c r="P1153" s="13"/>
    </x:row>
    <x:row r="1154">
      <x:c r="E1154" s="13"/>
      <x:c r="F1154" s="13"/>
      <x:c r="G1154" s="13"/>
      <x:c r="H1154" s="13"/>
      <x:c r="I1154" s="13"/>
      <x:c r="J1154" s="13"/>
      <x:c r="K1154" s="13"/>
      <x:c r="L1154" s="13"/>
      <x:c r="M1154" s="13"/>
      <x:c r="N1154" s="13"/>
      <x:c r="O1154" s="13"/>
      <x:c r="P1154" s="13"/>
    </x:row>
    <x:row r="1155">
      <x:c r="E1155" s="13"/>
      <x:c r="F1155" s="13"/>
      <x:c r="G1155" s="13"/>
      <x:c r="H1155" s="13"/>
      <x:c r="I1155" s="13"/>
      <x:c r="J1155" s="13"/>
      <x:c r="K1155" s="13"/>
      <x:c r="L1155" s="13"/>
      <x:c r="M1155" s="13"/>
      <x:c r="N1155" s="13"/>
      <x:c r="O1155" s="13"/>
      <x:c r="P1155" s="13"/>
    </x:row>
    <x:row r="1156">
      <x:c r="E1156" s="13"/>
      <x:c r="F1156" s="13"/>
      <x:c r="G1156" s="13"/>
      <x:c r="H1156" s="13"/>
      <x:c r="I1156" s="13"/>
      <x:c r="J1156" s="13"/>
      <x:c r="K1156" s="13"/>
      <x:c r="L1156" s="13"/>
      <x:c r="M1156" s="13"/>
      <x:c r="N1156" s="13"/>
      <x:c r="O1156" s="13"/>
      <x:c r="P1156" s="13"/>
    </x:row>
    <x:row r="1157">
      <x:c r="E1157" s="13"/>
      <x:c r="F1157" s="13"/>
      <x:c r="G1157" s="13"/>
      <x:c r="H1157" s="13"/>
      <x:c r="I1157" s="13"/>
      <x:c r="J1157" s="13"/>
      <x:c r="K1157" s="13"/>
      <x:c r="L1157" s="13"/>
      <x:c r="M1157" s="13"/>
      <x:c r="N1157" s="13"/>
      <x:c r="O1157" s="13"/>
      <x:c r="P1157" s="13"/>
    </x:row>
    <x:row r="1158">
      <x:c r="E1158" s="13"/>
      <x:c r="F1158" s="13"/>
      <x:c r="G1158" s="13"/>
      <x:c r="H1158" s="13"/>
      <x:c r="I1158" s="13"/>
      <x:c r="J1158" s="13"/>
      <x:c r="K1158" s="13"/>
      <x:c r="L1158" s="13"/>
      <x:c r="M1158" s="13"/>
      <x:c r="N1158" s="13"/>
      <x:c r="O1158" s="13"/>
      <x:c r="P1158" s="13"/>
    </x:row>
    <x:row r="1159">
      <x:c r="E1159" s="13"/>
      <x:c r="F1159" s="13"/>
      <x:c r="G1159" s="13"/>
      <x:c r="H1159" s="13"/>
      <x:c r="I1159" s="13"/>
      <x:c r="J1159" s="13"/>
      <x:c r="K1159" s="13"/>
      <x:c r="L1159" s="13"/>
      <x:c r="M1159" s="13"/>
      <x:c r="N1159" s="13"/>
      <x:c r="O1159" s="13"/>
      <x:c r="P1159" s="13"/>
    </x:row>
    <x:row r="1160">
      <x:c r="E1160" s="13"/>
      <x:c r="F1160" s="13"/>
      <x:c r="G1160" s="13"/>
      <x:c r="H1160" s="13"/>
      <x:c r="I1160" s="13"/>
      <x:c r="J1160" s="13"/>
      <x:c r="K1160" s="13"/>
      <x:c r="L1160" s="13"/>
      <x:c r="M1160" s="13"/>
      <x:c r="N1160" s="13"/>
      <x:c r="O1160" s="13"/>
      <x:c r="P1160" s="13"/>
    </x:row>
    <x:row r="1161">
      <x:c r="E1161" s="13"/>
      <x:c r="F1161" s="13"/>
      <x:c r="G1161" s="13"/>
      <x:c r="H1161" s="13"/>
      <x:c r="I1161" s="13"/>
      <x:c r="J1161" s="13"/>
      <x:c r="K1161" s="13"/>
      <x:c r="L1161" s="13"/>
      <x:c r="M1161" s="13"/>
      <x:c r="N1161" s="13"/>
      <x:c r="O1161" s="13"/>
      <x:c r="P1161" s="13"/>
    </x:row>
    <x:row r="1162">
      <x:c r="E1162" s="13"/>
      <x:c r="F1162" s="13"/>
      <x:c r="G1162" s="13"/>
      <x:c r="H1162" s="13"/>
      <x:c r="I1162" s="13"/>
      <x:c r="J1162" s="13"/>
      <x:c r="K1162" s="13"/>
      <x:c r="L1162" s="13"/>
      <x:c r="M1162" s="13"/>
      <x:c r="N1162" s="13"/>
      <x:c r="O1162" s="13"/>
      <x:c r="P1162" s="13"/>
    </x:row>
    <x:row r="1163">
      <x:c r="E1163" s="13"/>
      <x:c r="F1163" s="13"/>
      <x:c r="G1163" s="13"/>
      <x:c r="H1163" s="13"/>
      <x:c r="I1163" s="13"/>
      <x:c r="J1163" s="13"/>
      <x:c r="K1163" s="13"/>
      <x:c r="L1163" s="13"/>
      <x:c r="M1163" s="13"/>
      <x:c r="N1163" s="13"/>
      <x:c r="O1163" s="13"/>
      <x:c r="P1163" s="13"/>
    </x:row>
    <x:row r="1164">
      <x:c r="E1164" s="13"/>
      <x:c r="F1164" s="13"/>
      <x:c r="G1164" s="13"/>
      <x:c r="H1164" s="13"/>
      <x:c r="I1164" s="13"/>
      <x:c r="J1164" s="13"/>
      <x:c r="K1164" s="13"/>
      <x:c r="L1164" s="13"/>
      <x:c r="M1164" s="13"/>
      <x:c r="N1164" s="13"/>
      <x:c r="O1164" s="13"/>
      <x:c r="P1164" s="13"/>
    </x:row>
    <x:row r="1165">
      <x:c r="E1165" s="13"/>
      <x:c r="F1165" s="13"/>
      <x:c r="G1165" s="13"/>
      <x:c r="H1165" s="13"/>
      <x:c r="I1165" s="13"/>
      <x:c r="J1165" s="13"/>
      <x:c r="K1165" s="13"/>
      <x:c r="L1165" s="13"/>
      <x:c r="M1165" s="13"/>
      <x:c r="N1165" s="13"/>
      <x:c r="O1165" s="13"/>
      <x:c r="P1165" s="13"/>
    </x:row>
    <x:row r="1166">
      <x:c r="E1166" s="13"/>
      <x:c r="F1166" s="13"/>
      <x:c r="G1166" s="13"/>
      <x:c r="H1166" s="13"/>
      <x:c r="I1166" s="13"/>
      <x:c r="J1166" s="13"/>
      <x:c r="K1166" s="13"/>
      <x:c r="L1166" s="13"/>
      <x:c r="M1166" s="13"/>
      <x:c r="N1166" s="13"/>
      <x:c r="O1166" s="13"/>
      <x:c r="P1166" s="13"/>
    </x:row>
    <x:row r="1167">
      <x:c r="E1167" s="13"/>
      <x:c r="F1167" s="13"/>
      <x:c r="G1167" s="13"/>
      <x:c r="H1167" s="13"/>
      <x:c r="I1167" s="13"/>
      <x:c r="J1167" s="13"/>
      <x:c r="K1167" s="13"/>
      <x:c r="L1167" s="13"/>
      <x:c r="M1167" s="13"/>
      <x:c r="N1167" s="13"/>
      <x:c r="O1167" s="13"/>
      <x:c r="P1167" s="13"/>
    </x:row>
    <x:row r="1168">
      <x:c r="E1168" s="13"/>
      <x:c r="F1168" s="13"/>
      <x:c r="G1168" s="13"/>
      <x:c r="H1168" s="13"/>
      <x:c r="I1168" s="13"/>
      <x:c r="J1168" s="13"/>
      <x:c r="K1168" s="13"/>
      <x:c r="L1168" s="13"/>
      <x:c r="M1168" s="13"/>
      <x:c r="N1168" s="13"/>
      <x:c r="O1168" s="13"/>
      <x:c r="P1168" s="13"/>
    </x:row>
    <x:row r="1169">
      <x:c r="E1169" s="13"/>
      <x:c r="F1169" s="13"/>
      <x:c r="G1169" s="13"/>
      <x:c r="H1169" s="13"/>
      <x:c r="I1169" s="13"/>
      <x:c r="J1169" s="13"/>
      <x:c r="K1169" s="13"/>
      <x:c r="L1169" s="13"/>
      <x:c r="M1169" s="13"/>
      <x:c r="N1169" s="13"/>
      <x:c r="O1169" s="13"/>
      <x:c r="P1169" s="13"/>
    </x:row>
    <x:row r="1170">
      <x:c r="E1170" s="13"/>
      <x:c r="F1170" s="13"/>
      <x:c r="G1170" s="13"/>
      <x:c r="H1170" s="13"/>
      <x:c r="I1170" s="13"/>
      <x:c r="J1170" s="13"/>
      <x:c r="K1170" s="13"/>
      <x:c r="L1170" s="13"/>
      <x:c r="M1170" s="13"/>
      <x:c r="N1170" s="13"/>
      <x:c r="O1170" s="13"/>
      <x:c r="P1170" s="13"/>
    </x:row>
    <x:row r="1171">
      <x:c r="E1171" s="13"/>
      <x:c r="F1171" s="13"/>
      <x:c r="G1171" s="13"/>
      <x:c r="H1171" s="13"/>
      <x:c r="I1171" s="13"/>
      <x:c r="J1171" s="13"/>
      <x:c r="K1171" s="13"/>
      <x:c r="L1171" s="13"/>
      <x:c r="M1171" s="13"/>
      <x:c r="N1171" s="13"/>
      <x:c r="O1171" s="13"/>
      <x:c r="P1171" s="13"/>
    </x:row>
    <x:row r="1172">
      <x:c r="E1172" s="13"/>
      <x:c r="F1172" s="13"/>
      <x:c r="G1172" s="13"/>
      <x:c r="H1172" s="13"/>
      <x:c r="I1172" s="13"/>
      <x:c r="J1172" s="13"/>
      <x:c r="K1172" s="13"/>
      <x:c r="L1172" s="13"/>
      <x:c r="M1172" s="13"/>
      <x:c r="N1172" s="13"/>
      <x:c r="O1172" s="13"/>
      <x:c r="P1172" s="13"/>
    </x:row>
    <x:row r="1173">
      <x:c r="E1173" s="13"/>
      <x:c r="F1173" s="13"/>
      <x:c r="G1173" s="13"/>
      <x:c r="H1173" s="13"/>
      <x:c r="I1173" s="13"/>
      <x:c r="J1173" s="13"/>
      <x:c r="K1173" s="13"/>
      <x:c r="L1173" s="13"/>
      <x:c r="M1173" s="13"/>
      <x:c r="N1173" s="13"/>
      <x:c r="O1173" s="13"/>
      <x:c r="P1173" s="13"/>
    </x:row>
    <x:row r="1174">
      <x:c r="E1174" s="13"/>
      <x:c r="F1174" s="13"/>
      <x:c r="G1174" s="13"/>
      <x:c r="H1174" s="13"/>
      <x:c r="I1174" s="13"/>
      <x:c r="J1174" s="13"/>
      <x:c r="K1174" s="13"/>
      <x:c r="L1174" s="13"/>
      <x:c r="M1174" s="13"/>
      <x:c r="N1174" s="13"/>
      <x:c r="O1174" s="13"/>
      <x:c r="P1174" s="13"/>
    </x:row>
    <x:row r="1175">
      <x:c r="E1175" s="13"/>
      <x:c r="F1175" s="13"/>
      <x:c r="G1175" s="13"/>
      <x:c r="H1175" s="13"/>
      <x:c r="I1175" s="13"/>
      <x:c r="J1175" s="13"/>
      <x:c r="K1175" s="13"/>
      <x:c r="L1175" s="13"/>
      <x:c r="M1175" s="13"/>
      <x:c r="N1175" s="13"/>
      <x:c r="O1175" s="13"/>
      <x:c r="P1175" s="13"/>
    </x:row>
    <x:row r="1176">
      <x:c r="E1176" s="13"/>
      <x:c r="F1176" s="13"/>
      <x:c r="G1176" s="13"/>
      <x:c r="H1176" s="13"/>
      <x:c r="I1176" s="13"/>
      <x:c r="J1176" s="13"/>
      <x:c r="K1176" s="13"/>
      <x:c r="L1176" s="13"/>
      <x:c r="M1176" s="13"/>
      <x:c r="N1176" s="13"/>
      <x:c r="O1176" s="13"/>
      <x:c r="P1176" s="13"/>
    </x:row>
    <x:row r="1177">
      <x:c r="E1177" s="13"/>
      <x:c r="F1177" s="13"/>
      <x:c r="G1177" s="13"/>
      <x:c r="H1177" s="13"/>
      <x:c r="I1177" s="13"/>
      <x:c r="J1177" s="13"/>
      <x:c r="K1177" s="13"/>
      <x:c r="L1177" s="13"/>
      <x:c r="M1177" s="13"/>
      <x:c r="N1177" s="13"/>
      <x:c r="O1177" s="13"/>
      <x:c r="P1177" s="13"/>
    </x:row>
    <x:row r="1178">
      <x:c r="E1178" s="13"/>
      <x:c r="F1178" s="13"/>
      <x:c r="G1178" s="13"/>
      <x:c r="H1178" s="13"/>
      <x:c r="I1178" s="13"/>
      <x:c r="J1178" s="13"/>
      <x:c r="K1178" s="13"/>
      <x:c r="L1178" s="13"/>
      <x:c r="M1178" s="13"/>
      <x:c r="N1178" s="13"/>
      <x:c r="O1178" s="13"/>
      <x:c r="P1178" s="13"/>
    </x:row>
    <x:row r="1179">
      <x:c r="E1179" s="13"/>
      <x:c r="F1179" s="13"/>
      <x:c r="G1179" s="13"/>
      <x:c r="H1179" s="13"/>
      <x:c r="I1179" s="13"/>
      <x:c r="J1179" s="13"/>
      <x:c r="K1179" s="13"/>
      <x:c r="L1179" s="13"/>
      <x:c r="M1179" s="13"/>
      <x:c r="N1179" s="13"/>
      <x:c r="O1179" s="13"/>
      <x:c r="P1179" s="13"/>
    </x:row>
    <x:row r="1180">
      <x:c r="E1180" s="13"/>
      <x:c r="F1180" s="13"/>
      <x:c r="G1180" s="13"/>
      <x:c r="H1180" s="13"/>
      <x:c r="I1180" s="13"/>
      <x:c r="J1180" s="13"/>
      <x:c r="K1180" s="13"/>
      <x:c r="L1180" s="13"/>
      <x:c r="M1180" s="13"/>
      <x:c r="N1180" s="13"/>
      <x:c r="O1180" s="13"/>
      <x:c r="P1180" s="13"/>
    </x:row>
    <x:row r="1181">
      <x:c r="E1181" s="13"/>
      <x:c r="F1181" s="13"/>
      <x:c r="G1181" s="13"/>
      <x:c r="H1181" s="13"/>
      <x:c r="I1181" s="13"/>
      <x:c r="J1181" s="13"/>
      <x:c r="K1181" s="13"/>
      <x:c r="L1181" s="13"/>
      <x:c r="M1181" s="13"/>
      <x:c r="N1181" s="13"/>
      <x:c r="O1181" s="13"/>
      <x:c r="P1181" s="13"/>
    </x:row>
    <x:row r="1182">
      <x:c r="E1182" s="13"/>
      <x:c r="F1182" s="13"/>
      <x:c r="G1182" s="13"/>
      <x:c r="H1182" s="13"/>
      <x:c r="I1182" s="13"/>
      <x:c r="J1182" s="13"/>
      <x:c r="K1182" s="13"/>
      <x:c r="L1182" s="13"/>
      <x:c r="M1182" s="13"/>
      <x:c r="N1182" s="13"/>
      <x:c r="O1182" s="13"/>
      <x:c r="P1182" s="13"/>
    </x:row>
    <x:row r="1183">
      <x:c r="E1183" s="13"/>
      <x:c r="F1183" s="13"/>
      <x:c r="G1183" s="13"/>
      <x:c r="H1183" s="13"/>
      <x:c r="I1183" s="13"/>
      <x:c r="J1183" s="13"/>
      <x:c r="K1183" s="13"/>
      <x:c r="L1183" s="13"/>
      <x:c r="M1183" s="13"/>
      <x:c r="N1183" s="13"/>
      <x:c r="O1183" s="13"/>
      <x:c r="P1183" s="13"/>
    </x:row>
    <x:row r="1184">
      <x:c r="E1184" s="13"/>
      <x:c r="F1184" s="13"/>
      <x:c r="G1184" s="13"/>
      <x:c r="H1184" s="13"/>
      <x:c r="I1184" s="13"/>
      <x:c r="J1184" s="13"/>
      <x:c r="K1184" s="13"/>
      <x:c r="L1184" s="13"/>
      <x:c r="M1184" s="13"/>
      <x:c r="N1184" s="13"/>
      <x:c r="O1184" s="13"/>
      <x:c r="P1184" s="13"/>
    </x:row>
    <x:row r="1185">
      <x:c r="E1185" s="13"/>
      <x:c r="F1185" s="13"/>
      <x:c r="G1185" s="13"/>
      <x:c r="H1185" s="13"/>
      <x:c r="I1185" s="13"/>
      <x:c r="J1185" s="13"/>
      <x:c r="K1185" s="13"/>
      <x:c r="L1185" s="13"/>
      <x:c r="M1185" s="13"/>
      <x:c r="N1185" s="13"/>
      <x:c r="O1185" s="13"/>
      <x:c r="P1185" s="13"/>
    </x:row>
    <x:row r="1186">
      <x:c r="E1186" s="13"/>
      <x:c r="F1186" s="13"/>
      <x:c r="G1186" s="13"/>
      <x:c r="H1186" s="13"/>
      <x:c r="I1186" s="13"/>
      <x:c r="J1186" s="13"/>
      <x:c r="K1186" s="13"/>
      <x:c r="L1186" s="13"/>
      <x:c r="M1186" s="13"/>
      <x:c r="N1186" s="13"/>
      <x:c r="O1186" s="13"/>
      <x:c r="P1186" s="13"/>
    </x:row>
    <x:row r="1187">
      <x:c r="E1187" s="13"/>
      <x:c r="F1187" s="13"/>
      <x:c r="G1187" s="13"/>
      <x:c r="H1187" s="13"/>
      <x:c r="I1187" s="13"/>
      <x:c r="J1187" s="13"/>
      <x:c r="K1187" s="13"/>
      <x:c r="L1187" s="13"/>
      <x:c r="M1187" s="13"/>
      <x:c r="N1187" s="13"/>
      <x:c r="O1187" s="13"/>
      <x:c r="P1187" s="13"/>
    </x:row>
    <x:row r="1188">
      <x:c r="E1188" s="13"/>
      <x:c r="F1188" s="13"/>
      <x:c r="G1188" s="13"/>
      <x:c r="H1188" s="13"/>
      <x:c r="I1188" s="13"/>
      <x:c r="J1188" s="13"/>
      <x:c r="K1188" s="13"/>
      <x:c r="L1188" s="13"/>
      <x:c r="M1188" s="13"/>
      <x:c r="N1188" s="13"/>
      <x:c r="O1188" s="13"/>
      <x:c r="P1188" s="13"/>
    </x:row>
    <x:row r="1189">
      <x:c r="E1189" s="13"/>
      <x:c r="F1189" s="13"/>
      <x:c r="G1189" s="13"/>
      <x:c r="H1189" s="13"/>
      <x:c r="I1189" s="13"/>
      <x:c r="J1189" s="13"/>
      <x:c r="K1189" s="13"/>
      <x:c r="L1189" s="13"/>
      <x:c r="M1189" s="13"/>
      <x:c r="N1189" s="13"/>
      <x:c r="O1189" s="13"/>
      <x:c r="P1189" s="13"/>
    </x:row>
    <x:row r="1190">
      <x:c r="E1190" s="13"/>
      <x:c r="F1190" s="13"/>
      <x:c r="G1190" s="13"/>
      <x:c r="H1190" s="13"/>
      <x:c r="I1190" s="13"/>
      <x:c r="J1190" s="13"/>
      <x:c r="K1190" s="13"/>
      <x:c r="L1190" s="13"/>
      <x:c r="M1190" s="13"/>
      <x:c r="N1190" s="13"/>
      <x:c r="O1190" s="13"/>
      <x:c r="P1190" s="13"/>
    </x:row>
    <x:row r="1191">
      <x:c r="E1191" s="13"/>
      <x:c r="F1191" s="13"/>
      <x:c r="G1191" s="13"/>
      <x:c r="H1191" s="13"/>
      <x:c r="I1191" s="13"/>
      <x:c r="J1191" s="13"/>
      <x:c r="K1191" s="13"/>
      <x:c r="L1191" s="13"/>
      <x:c r="M1191" s="13"/>
      <x:c r="N1191" s="13"/>
      <x:c r="O1191" s="13"/>
      <x:c r="P1191" s="13"/>
    </x:row>
    <x:row r="1192">
      <x:c r="E1192" s="13"/>
      <x:c r="F1192" s="13"/>
      <x:c r="G1192" s="13"/>
      <x:c r="H1192" s="13"/>
      <x:c r="I1192" s="13"/>
      <x:c r="J1192" s="13"/>
      <x:c r="K1192" s="13"/>
      <x:c r="L1192" s="13"/>
      <x:c r="M1192" s="13"/>
      <x:c r="N1192" s="13"/>
      <x:c r="O1192" s="13"/>
      <x:c r="P1192" s="13"/>
    </x:row>
    <x:row r="1193">
      <x:c r="E1193" s="13"/>
      <x:c r="F1193" s="13"/>
      <x:c r="G1193" s="13"/>
      <x:c r="H1193" s="13"/>
      <x:c r="I1193" s="13"/>
      <x:c r="J1193" s="13"/>
      <x:c r="K1193" s="13"/>
      <x:c r="L1193" s="13"/>
      <x:c r="M1193" s="13"/>
      <x:c r="N1193" s="13"/>
      <x:c r="O1193" s="13"/>
      <x:c r="P1193" s="13"/>
    </x:row>
    <x:row r="1194">
      <x:c r="E1194" s="13"/>
      <x:c r="F1194" s="13"/>
      <x:c r="G1194" s="13"/>
      <x:c r="H1194" s="13"/>
      <x:c r="I1194" s="13"/>
      <x:c r="J1194" s="13"/>
      <x:c r="K1194" s="13"/>
      <x:c r="L1194" s="13"/>
      <x:c r="M1194" s="13"/>
      <x:c r="N1194" s="13"/>
      <x:c r="O1194" s="13"/>
      <x:c r="P1194" s="13"/>
    </x:row>
    <x:row r="1195">
      <x:c r="E1195" s="13"/>
      <x:c r="F1195" s="13"/>
      <x:c r="G1195" s="13"/>
      <x:c r="H1195" s="13"/>
      <x:c r="I1195" s="13"/>
      <x:c r="J1195" s="13"/>
      <x:c r="K1195" s="13"/>
      <x:c r="L1195" s="13"/>
      <x:c r="M1195" s="13"/>
      <x:c r="N1195" s="13"/>
      <x:c r="O1195" s="13"/>
      <x:c r="P1195" s="13"/>
    </x:row>
    <x:row r="1196">
      <x:c r="E1196" s="13"/>
      <x:c r="F1196" s="13"/>
      <x:c r="G1196" s="13"/>
      <x:c r="H1196" s="13"/>
      <x:c r="I1196" s="13"/>
      <x:c r="J1196" s="13"/>
      <x:c r="K1196" s="13"/>
      <x:c r="L1196" s="13"/>
      <x:c r="M1196" s="13"/>
      <x:c r="N1196" s="13"/>
      <x:c r="O1196" s="13"/>
      <x:c r="P1196" s="13"/>
    </x:row>
    <x:row r="1197">
      <x:c r="E1197" s="13"/>
      <x:c r="F1197" s="13"/>
      <x:c r="G1197" s="13"/>
      <x:c r="H1197" s="13"/>
      <x:c r="I1197" s="13"/>
      <x:c r="J1197" s="13"/>
      <x:c r="K1197" s="13"/>
      <x:c r="L1197" s="13"/>
      <x:c r="M1197" s="13"/>
      <x:c r="N1197" s="13"/>
      <x:c r="O1197" s="13"/>
      <x:c r="P1197" s="13"/>
    </x:row>
    <x:row r="1198">
      <x:c r="E1198" s="13"/>
      <x:c r="F1198" s="13"/>
      <x:c r="G1198" s="13"/>
      <x:c r="H1198" s="13"/>
      <x:c r="I1198" s="13"/>
      <x:c r="J1198" s="13"/>
      <x:c r="K1198" s="13"/>
      <x:c r="L1198" s="13"/>
      <x:c r="M1198" s="13"/>
      <x:c r="N1198" s="13"/>
      <x:c r="O1198" s="13"/>
      <x:c r="P1198" s="13"/>
    </x:row>
    <x:row r="1199">
      <x:c r="E1199" s="13"/>
      <x:c r="F1199" s="13"/>
      <x:c r="G1199" s="13"/>
      <x:c r="H1199" s="13"/>
      <x:c r="I1199" s="13"/>
      <x:c r="J1199" s="13"/>
      <x:c r="K1199" s="13"/>
      <x:c r="L1199" s="13"/>
      <x:c r="M1199" s="13"/>
      <x:c r="N1199" s="13"/>
      <x:c r="O1199" s="13"/>
      <x:c r="P1199" s="13"/>
    </x:row>
    <x:row r="1200">
      <x:c r="E1200" s="13"/>
      <x:c r="F1200" s="13"/>
      <x:c r="G1200" s="13"/>
      <x:c r="H1200" s="13"/>
      <x:c r="I1200" s="13"/>
      <x:c r="J1200" s="13"/>
      <x:c r="K1200" s="13"/>
      <x:c r="L1200" s="13"/>
      <x:c r="M1200" s="13"/>
      <x:c r="N1200" s="13"/>
      <x:c r="O1200" s="13"/>
      <x:c r="P1200" s="13"/>
    </x:row>
    <x:row r="1201">
      <x:c r="E1201" s="13"/>
      <x:c r="F1201" s="13"/>
      <x:c r="G1201" s="13"/>
      <x:c r="H1201" s="13"/>
      <x:c r="I1201" s="13"/>
      <x:c r="J1201" s="13"/>
      <x:c r="K1201" s="13"/>
      <x:c r="L1201" s="13"/>
      <x:c r="M1201" s="13"/>
      <x:c r="N1201" s="13"/>
      <x:c r="O1201" s="13"/>
      <x:c r="P1201" s="13"/>
    </x:row>
    <x:row r="1202">
      <x:c r="E1202" s="13"/>
      <x:c r="F1202" s="13"/>
      <x:c r="G1202" s="13"/>
      <x:c r="H1202" s="13"/>
      <x:c r="I1202" s="13"/>
      <x:c r="J1202" s="13"/>
      <x:c r="K1202" s="13"/>
      <x:c r="L1202" s="13"/>
      <x:c r="M1202" s="13"/>
      <x:c r="N1202" s="13"/>
      <x:c r="O1202" s="13"/>
      <x:c r="P1202" s="13"/>
    </x:row>
    <x:row r="1203">
      <x:c r="E1203" s="13"/>
      <x:c r="F1203" s="13"/>
      <x:c r="G1203" s="13"/>
      <x:c r="H1203" s="13"/>
      <x:c r="I1203" s="13"/>
      <x:c r="J1203" s="13"/>
      <x:c r="K1203" s="13"/>
      <x:c r="L1203" s="13"/>
      <x:c r="M1203" s="13"/>
      <x:c r="N1203" s="13"/>
      <x:c r="O1203" s="13"/>
      <x:c r="P1203" s="13"/>
    </x:row>
    <x:row r="1204">
      <x:c r="E1204" s="13"/>
      <x:c r="F1204" s="13"/>
      <x:c r="G1204" s="13"/>
      <x:c r="H1204" s="13"/>
      <x:c r="I1204" s="13"/>
      <x:c r="J1204" s="13"/>
      <x:c r="K1204" s="13"/>
      <x:c r="L1204" s="13"/>
      <x:c r="M1204" s="13"/>
      <x:c r="N1204" s="13"/>
      <x:c r="O1204" s="13"/>
      <x:c r="P1204" s="13"/>
    </x:row>
    <x:row r="1205">
      <x:c r="E1205" s="13"/>
      <x:c r="F1205" s="13"/>
      <x:c r="G1205" s="13"/>
      <x:c r="H1205" s="13"/>
      <x:c r="I1205" s="13"/>
      <x:c r="J1205" s="13"/>
      <x:c r="K1205" s="13"/>
      <x:c r="L1205" s="13"/>
      <x:c r="M1205" s="13"/>
      <x:c r="N1205" s="13"/>
      <x:c r="O1205" s="13"/>
      <x:c r="P1205" s="13"/>
    </x:row>
    <x:row r="1206">
      <x:c r="E1206" s="13"/>
      <x:c r="F1206" s="13"/>
      <x:c r="G1206" s="13"/>
      <x:c r="H1206" s="13"/>
      <x:c r="I1206" s="13"/>
      <x:c r="J1206" s="13"/>
      <x:c r="K1206" s="13"/>
      <x:c r="L1206" s="13"/>
      <x:c r="M1206" s="13"/>
      <x:c r="N1206" s="13"/>
      <x:c r="O1206" s="13"/>
      <x:c r="P1206" s="13"/>
    </x:row>
    <x:row r="1207">
      <x:c r="E1207" s="13"/>
      <x:c r="F1207" s="13"/>
      <x:c r="G1207" s="13"/>
      <x:c r="H1207" s="13"/>
      <x:c r="I1207" s="13"/>
      <x:c r="J1207" s="13"/>
      <x:c r="K1207" s="13"/>
      <x:c r="L1207" s="13"/>
      <x:c r="M1207" s="13"/>
      <x:c r="N1207" s="13"/>
      <x:c r="O1207" s="13"/>
      <x:c r="P1207" s="13"/>
    </x:row>
    <x:row r="1208">
      <x:c r="E1208" s="13"/>
      <x:c r="F1208" s="13"/>
      <x:c r="G1208" s="13"/>
      <x:c r="H1208" s="13"/>
      <x:c r="I1208" s="13"/>
      <x:c r="J1208" s="13"/>
      <x:c r="K1208" s="13"/>
      <x:c r="L1208" s="13"/>
      <x:c r="M1208" s="13"/>
      <x:c r="N1208" s="13"/>
      <x:c r="O1208" s="13"/>
      <x:c r="P1208" s="13"/>
    </x:row>
    <x:row r="1209">
      <x:c r="E1209" s="13"/>
      <x:c r="F1209" s="13"/>
      <x:c r="G1209" s="13"/>
      <x:c r="H1209" s="13"/>
      <x:c r="I1209" s="13"/>
      <x:c r="J1209" s="13"/>
      <x:c r="K1209" s="13"/>
      <x:c r="L1209" s="13"/>
      <x:c r="M1209" s="13"/>
      <x:c r="N1209" s="13"/>
      <x:c r="O1209" s="13"/>
      <x:c r="P1209" s="13"/>
    </x:row>
    <x:row r="1210">
      <x:c r="E1210" s="13"/>
      <x:c r="F1210" s="13"/>
      <x:c r="G1210" s="13"/>
      <x:c r="H1210" s="13"/>
      <x:c r="I1210" s="13"/>
      <x:c r="J1210" s="13"/>
      <x:c r="K1210" s="13"/>
      <x:c r="L1210" s="13"/>
      <x:c r="M1210" s="13"/>
      <x:c r="N1210" s="13"/>
      <x:c r="O1210" s="13"/>
      <x:c r="P1210" s="13"/>
    </x:row>
    <x:row r="1211">
      <x:c r="E1211" s="13"/>
      <x:c r="F1211" s="13"/>
      <x:c r="G1211" s="13"/>
      <x:c r="H1211" s="13"/>
      <x:c r="I1211" s="13"/>
      <x:c r="J1211" s="13"/>
      <x:c r="K1211" s="13"/>
      <x:c r="L1211" s="13"/>
      <x:c r="M1211" s="13"/>
      <x:c r="N1211" s="13"/>
      <x:c r="O1211" s="13"/>
      <x:c r="P1211" s="13"/>
    </x:row>
    <x:row r="1212">
      <x:c r="E1212" s="13"/>
      <x:c r="F1212" s="13"/>
      <x:c r="G1212" s="13"/>
      <x:c r="H1212" s="13"/>
      <x:c r="I1212" s="13"/>
      <x:c r="J1212" s="13"/>
      <x:c r="K1212" s="13"/>
      <x:c r="L1212" s="13"/>
      <x:c r="M1212" s="13"/>
      <x:c r="N1212" s="13"/>
      <x:c r="O1212" s="13"/>
      <x:c r="P1212" s="13"/>
    </x:row>
    <x:row r="1213">
      <x:c r="E1213" s="13"/>
      <x:c r="F1213" s="13"/>
      <x:c r="G1213" s="13"/>
      <x:c r="H1213" s="13"/>
      <x:c r="I1213" s="13"/>
      <x:c r="J1213" s="13"/>
      <x:c r="K1213" s="13"/>
      <x:c r="L1213" s="13"/>
      <x:c r="M1213" s="13"/>
      <x:c r="N1213" s="13"/>
      <x:c r="O1213" s="13"/>
      <x:c r="P1213" s="13"/>
    </x:row>
    <x:row r="1214">
      <x:c r="E1214" s="13"/>
      <x:c r="F1214" s="13"/>
      <x:c r="G1214" s="13"/>
      <x:c r="H1214" s="13"/>
      <x:c r="I1214" s="13"/>
      <x:c r="J1214" s="13"/>
      <x:c r="K1214" s="13"/>
      <x:c r="L1214" s="13"/>
      <x:c r="M1214" s="13"/>
      <x:c r="N1214" s="13"/>
      <x:c r="O1214" s="13"/>
      <x:c r="P1214" s="13"/>
    </x:row>
    <x:row r="1215">
      <x:c r="E1215" s="13"/>
      <x:c r="F1215" s="13"/>
      <x:c r="G1215" s="13"/>
      <x:c r="H1215" s="13"/>
      <x:c r="I1215" s="13"/>
      <x:c r="J1215" s="13"/>
      <x:c r="K1215" s="13"/>
      <x:c r="L1215" s="13"/>
      <x:c r="M1215" s="13"/>
      <x:c r="N1215" s="13"/>
      <x:c r="O1215" s="13"/>
      <x:c r="P1215" s="13"/>
    </x:row>
    <x:row r="1216">
      <x:c r="E1216" s="13"/>
      <x:c r="F1216" s="13"/>
      <x:c r="G1216" s="13"/>
      <x:c r="H1216" s="13"/>
      <x:c r="I1216" s="13"/>
      <x:c r="J1216" s="13"/>
      <x:c r="K1216" s="13"/>
      <x:c r="L1216" s="13"/>
      <x:c r="M1216" s="13"/>
      <x:c r="N1216" s="13"/>
      <x:c r="O1216" s="13"/>
      <x:c r="P1216" s="13"/>
    </x:row>
    <x:row r="1217">
      <x:c r="E1217" s="13"/>
      <x:c r="F1217" s="13"/>
      <x:c r="G1217" s="13"/>
      <x:c r="H1217" s="13"/>
      <x:c r="I1217" s="13"/>
      <x:c r="J1217" s="13"/>
      <x:c r="K1217" s="13"/>
      <x:c r="L1217" s="13"/>
      <x:c r="M1217" s="13"/>
      <x:c r="N1217" s="13"/>
      <x:c r="O1217" s="13"/>
      <x:c r="P1217" s="13"/>
    </x:row>
    <x:row r="1218">
      <x:c r="E1218" s="13"/>
      <x:c r="F1218" s="13"/>
      <x:c r="G1218" s="13"/>
      <x:c r="H1218" s="13"/>
      <x:c r="I1218" s="13"/>
      <x:c r="J1218" s="13"/>
      <x:c r="K1218" s="13"/>
      <x:c r="L1218" s="13"/>
      <x:c r="M1218" s="13"/>
      <x:c r="N1218" s="13"/>
      <x:c r="O1218" s="13"/>
      <x:c r="P1218" s="13"/>
    </x:row>
    <x:row r="1219">
      <x:c r="E1219" s="13"/>
      <x:c r="F1219" s="13"/>
      <x:c r="G1219" s="13"/>
      <x:c r="H1219" s="13"/>
      <x:c r="I1219" s="13"/>
      <x:c r="J1219" s="13"/>
      <x:c r="K1219" s="13"/>
      <x:c r="L1219" s="13"/>
      <x:c r="M1219" s="13"/>
      <x:c r="N1219" s="13"/>
      <x:c r="O1219" s="13"/>
      <x:c r="P1219" s="13"/>
    </x:row>
    <x:row r="1220">
      <x:c r="E1220" s="13"/>
      <x:c r="F1220" s="13"/>
      <x:c r="G1220" s="13"/>
      <x:c r="H1220" s="13"/>
      <x:c r="I1220" s="13"/>
      <x:c r="J1220" s="13"/>
      <x:c r="K1220" s="13"/>
      <x:c r="L1220" s="13"/>
      <x:c r="M1220" s="13"/>
      <x:c r="N1220" s="13"/>
      <x:c r="O1220" s="13"/>
      <x:c r="P1220" s="13"/>
    </x:row>
    <x:row r="1221">
      <x:c r="E1221" s="13"/>
      <x:c r="F1221" s="13"/>
      <x:c r="G1221" s="13"/>
      <x:c r="H1221" s="13"/>
      <x:c r="I1221" s="13"/>
      <x:c r="J1221" s="13"/>
      <x:c r="K1221" s="13"/>
      <x:c r="L1221" s="13"/>
      <x:c r="M1221" s="13"/>
      <x:c r="N1221" s="13"/>
      <x:c r="O1221" s="13"/>
      <x:c r="P1221" s="13"/>
    </x:row>
    <x:row r="1222">
      <x:c r="E1222" s="13"/>
      <x:c r="F1222" s="13"/>
      <x:c r="G1222" s="13"/>
      <x:c r="H1222" s="13"/>
      <x:c r="I1222" s="13"/>
      <x:c r="J1222" s="13"/>
      <x:c r="K1222" s="13"/>
      <x:c r="L1222" s="13"/>
      <x:c r="M1222" s="13"/>
      <x:c r="N1222" s="13"/>
      <x:c r="O1222" s="13"/>
      <x:c r="P1222" s="13"/>
    </x:row>
    <x:row r="1223">
      <x:c r="E1223" s="13"/>
      <x:c r="F1223" s="13"/>
      <x:c r="G1223" s="13"/>
      <x:c r="H1223" s="13"/>
      <x:c r="I1223" s="13"/>
      <x:c r="J1223" s="13"/>
      <x:c r="K1223" s="13"/>
      <x:c r="L1223" s="13"/>
      <x:c r="M1223" s="13"/>
      <x:c r="N1223" s="13"/>
      <x:c r="O1223" s="13"/>
      <x:c r="P1223" s="13"/>
    </x:row>
    <x:row r="1224">
      <x:c r="E1224" s="13"/>
      <x:c r="F1224" s="13"/>
      <x:c r="G1224" s="13"/>
      <x:c r="H1224" s="13"/>
      <x:c r="I1224" s="13"/>
      <x:c r="J1224" s="13"/>
      <x:c r="K1224" s="13"/>
      <x:c r="L1224" s="13"/>
      <x:c r="M1224" s="13"/>
      <x:c r="N1224" s="13"/>
      <x:c r="O1224" s="13"/>
      <x:c r="P1224" s="13"/>
    </x:row>
    <x:row r="1225">
      <x:c r="E1225" s="13"/>
      <x:c r="F1225" s="13"/>
      <x:c r="G1225" s="13"/>
      <x:c r="H1225" s="13"/>
      <x:c r="I1225" s="13"/>
      <x:c r="J1225" s="13"/>
      <x:c r="K1225" s="13"/>
      <x:c r="L1225" s="13"/>
      <x:c r="M1225" s="13"/>
      <x:c r="N1225" s="13"/>
      <x:c r="O1225" s="13"/>
      <x:c r="P1225" s="13"/>
    </x:row>
    <x:row r="1226">
      <x:c r="E1226" s="13"/>
      <x:c r="F1226" s="13"/>
      <x:c r="G1226" s="13"/>
      <x:c r="H1226" s="13"/>
      <x:c r="I1226" s="13"/>
      <x:c r="J1226" s="13"/>
      <x:c r="K1226" s="13"/>
      <x:c r="L1226" s="13"/>
      <x:c r="M1226" s="13"/>
      <x:c r="N1226" s="13"/>
      <x:c r="O1226" s="13"/>
      <x:c r="P1226" s="13"/>
    </x:row>
    <x:row r="1227">
      <x:c r="E1227" s="13"/>
      <x:c r="F1227" s="13"/>
      <x:c r="G1227" s="13"/>
      <x:c r="H1227" s="13"/>
      <x:c r="I1227" s="13"/>
      <x:c r="J1227" s="13"/>
      <x:c r="K1227" s="13"/>
      <x:c r="L1227" s="13"/>
      <x:c r="M1227" s="13"/>
      <x:c r="N1227" s="13"/>
      <x:c r="O1227" s="13"/>
      <x:c r="P1227" s="13"/>
    </x:row>
    <x:row r="1228">
      <x:c r="E1228" s="13"/>
      <x:c r="F1228" s="13"/>
      <x:c r="G1228" s="13"/>
      <x:c r="H1228" s="13"/>
      <x:c r="I1228" s="13"/>
      <x:c r="J1228" s="13"/>
      <x:c r="K1228" s="13"/>
      <x:c r="L1228" s="13"/>
      <x:c r="M1228" s="13"/>
      <x:c r="N1228" s="13"/>
      <x:c r="O1228" s="13"/>
      <x:c r="P1228" s="13"/>
    </x:row>
    <x:row r="1229">
      <x:c r="E1229" s="13"/>
      <x:c r="F1229" s="13"/>
      <x:c r="G1229" s="13"/>
      <x:c r="H1229" s="13"/>
      <x:c r="I1229" s="13"/>
      <x:c r="J1229" s="13"/>
      <x:c r="K1229" s="13"/>
      <x:c r="L1229" s="13"/>
      <x:c r="M1229" s="13"/>
      <x:c r="N1229" s="13"/>
      <x:c r="O1229" s="13"/>
      <x:c r="P1229" s="13"/>
    </x:row>
    <x:row r="1230">
      <x:c r="E1230" s="13"/>
      <x:c r="F1230" s="13"/>
      <x:c r="G1230" s="13"/>
      <x:c r="H1230" s="13"/>
      <x:c r="I1230" s="13"/>
      <x:c r="J1230" s="13"/>
      <x:c r="K1230" s="13"/>
      <x:c r="L1230" s="13"/>
      <x:c r="M1230" s="13"/>
      <x:c r="N1230" s="13"/>
      <x:c r="O1230" s="13"/>
      <x:c r="P1230" s="13"/>
    </x:row>
    <x:row r="1231">
      <x:c r="E1231" s="13"/>
      <x:c r="F1231" s="13"/>
      <x:c r="G1231" s="13"/>
      <x:c r="H1231" s="13"/>
      <x:c r="I1231" s="13"/>
      <x:c r="J1231" s="13"/>
      <x:c r="K1231" s="13"/>
      <x:c r="L1231" s="13"/>
      <x:c r="M1231" s="13"/>
      <x:c r="N1231" s="13"/>
      <x:c r="O1231" s="13"/>
      <x:c r="P1231" s="13"/>
    </x:row>
    <x:row r="1232">
      <x:c r="E1232" s="13"/>
      <x:c r="F1232" s="13"/>
      <x:c r="G1232" s="13"/>
      <x:c r="H1232" s="13"/>
      <x:c r="I1232" s="13"/>
      <x:c r="J1232" s="13"/>
      <x:c r="K1232" s="13"/>
      <x:c r="L1232" s="13"/>
      <x:c r="M1232" s="13"/>
      <x:c r="N1232" s="13"/>
      <x:c r="O1232" s="13"/>
      <x:c r="P1232" s="13"/>
    </x:row>
    <x:row r="1233">
      <x:c r="E1233" s="13"/>
      <x:c r="F1233" s="13"/>
      <x:c r="G1233" s="13"/>
      <x:c r="H1233" s="13"/>
      <x:c r="I1233" s="13"/>
      <x:c r="J1233" s="13"/>
      <x:c r="K1233" s="13"/>
      <x:c r="L1233" s="13"/>
      <x:c r="M1233" s="13"/>
      <x:c r="N1233" s="13"/>
      <x:c r="O1233" s="13"/>
      <x:c r="P1233" s="13"/>
    </x:row>
    <x:row r="1234">
      <x:c r="E1234" s="13"/>
      <x:c r="F1234" s="13"/>
      <x:c r="G1234" s="13"/>
      <x:c r="H1234" s="13"/>
      <x:c r="I1234" s="13"/>
      <x:c r="J1234" s="13"/>
      <x:c r="K1234" s="13"/>
      <x:c r="L1234" s="13"/>
      <x:c r="M1234" s="13"/>
      <x:c r="N1234" s="13"/>
      <x:c r="O1234" s="13"/>
      <x:c r="P1234" s="13"/>
    </x:row>
    <x:row r="1235">
      <x:c r="E1235" s="13"/>
      <x:c r="F1235" s="13"/>
      <x:c r="G1235" s="13"/>
      <x:c r="H1235" s="13"/>
      <x:c r="I1235" s="13"/>
      <x:c r="J1235" s="13"/>
      <x:c r="K1235" s="13"/>
      <x:c r="L1235" s="13"/>
      <x:c r="M1235" s="13"/>
      <x:c r="N1235" s="13"/>
      <x:c r="O1235" s="13"/>
      <x:c r="P1235" s="13"/>
    </x:row>
    <x:row r="1236">
      <x:c r="E1236" s="13"/>
      <x:c r="F1236" s="13"/>
      <x:c r="G1236" s="13"/>
      <x:c r="H1236" s="13"/>
      <x:c r="I1236" s="13"/>
      <x:c r="J1236" s="13"/>
      <x:c r="K1236" s="13"/>
      <x:c r="L1236" s="13"/>
      <x:c r="M1236" s="13"/>
      <x:c r="N1236" s="13"/>
      <x:c r="O1236" s="13"/>
      <x:c r="P1236" s="13"/>
    </x:row>
    <x:row r="1237">
      <x:c r="E1237" s="13"/>
      <x:c r="F1237" s="13"/>
      <x:c r="G1237" s="13"/>
      <x:c r="H1237" s="13"/>
      <x:c r="I1237" s="13"/>
      <x:c r="J1237" s="13"/>
      <x:c r="K1237" s="13"/>
      <x:c r="L1237" s="13"/>
      <x:c r="M1237" s="13"/>
      <x:c r="N1237" s="13"/>
      <x:c r="O1237" s="13"/>
      <x:c r="P1237" s="13"/>
    </x:row>
    <x:row r="1238">
      <x:c r="E1238" s="13"/>
      <x:c r="F1238" s="13"/>
      <x:c r="G1238" s="13"/>
      <x:c r="H1238" s="13"/>
      <x:c r="I1238" s="13"/>
      <x:c r="J1238" s="13"/>
      <x:c r="K1238" s="13"/>
      <x:c r="L1238" s="13"/>
      <x:c r="M1238" s="13"/>
      <x:c r="N1238" s="13"/>
      <x:c r="O1238" s="13"/>
      <x:c r="P1238" s="13"/>
    </x:row>
    <x:row r="1239">
      <x:c r="E1239" s="13"/>
      <x:c r="F1239" s="13"/>
      <x:c r="G1239" s="13"/>
      <x:c r="H1239" s="13"/>
      <x:c r="I1239" s="13"/>
      <x:c r="J1239" s="13"/>
      <x:c r="K1239" s="13"/>
      <x:c r="L1239" s="13"/>
      <x:c r="M1239" s="13"/>
      <x:c r="N1239" s="13"/>
      <x:c r="O1239" s="13"/>
      <x:c r="P1239" s="13"/>
    </x:row>
    <x:row r="1240">
      <x:c r="E1240" s="13"/>
      <x:c r="F1240" s="13"/>
      <x:c r="G1240" s="13"/>
      <x:c r="H1240" s="13"/>
      <x:c r="I1240" s="13"/>
      <x:c r="J1240" s="13"/>
      <x:c r="K1240" s="13"/>
      <x:c r="L1240" s="13"/>
      <x:c r="M1240" s="13"/>
      <x:c r="N1240" s="13"/>
      <x:c r="O1240" s="13"/>
      <x:c r="P1240" s="13"/>
    </x:row>
    <x:row r="1241">
      <x:c r="E1241" s="13"/>
      <x:c r="F1241" s="13"/>
      <x:c r="G1241" s="13"/>
      <x:c r="H1241" s="13"/>
      <x:c r="I1241" s="13"/>
      <x:c r="J1241" s="13"/>
      <x:c r="K1241" s="13"/>
      <x:c r="L1241" s="13"/>
      <x:c r="M1241" s="13"/>
      <x:c r="N1241" s="13"/>
      <x:c r="O1241" s="13"/>
      <x:c r="P1241" s="13"/>
    </x:row>
    <x:row r="1242">
      <x:c r="E1242" s="13"/>
      <x:c r="F1242" s="13"/>
      <x:c r="G1242" s="13"/>
      <x:c r="H1242" s="13"/>
      <x:c r="I1242" s="13"/>
      <x:c r="J1242" s="13"/>
      <x:c r="K1242" s="13"/>
      <x:c r="L1242" s="13"/>
      <x:c r="M1242" s="13"/>
      <x:c r="N1242" s="13"/>
      <x:c r="O1242" s="13"/>
      <x:c r="P1242" s="13"/>
    </x:row>
    <x:row r="1243">
      <x:c r="E1243" s="13"/>
      <x:c r="F1243" s="13"/>
      <x:c r="G1243" s="13"/>
      <x:c r="H1243" s="13"/>
      <x:c r="I1243" s="13"/>
      <x:c r="J1243" s="13"/>
      <x:c r="K1243" s="13"/>
      <x:c r="L1243" s="13"/>
      <x:c r="M1243" s="13"/>
      <x:c r="N1243" s="13"/>
      <x:c r="O1243" s="13"/>
      <x:c r="P1243" s="13"/>
    </x:row>
    <x:row r="1244">
      <x:c r="E1244" s="13"/>
      <x:c r="F1244" s="13"/>
      <x:c r="G1244" s="13"/>
      <x:c r="H1244" s="13"/>
      <x:c r="I1244" s="13"/>
      <x:c r="J1244" s="13"/>
      <x:c r="K1244" s="13"/>
      <x:c r="L1244" s="13"/>
      <x:c r="M1244" s="13"/>
      <x:c r="N1244" s="13"/>
      <x:c r="O1244" s="13"/>
      <x:c r="P1244" s="13"/>
    </x:row>
    <x:row r="1245">
      <x:c r="E1245" s="13"/>
      <x:c r="F1245" s="13"/>
      <x:c r="G1245" s="13"/>
      <x:c r="H1245" s="13"/>
      <x:c r="I1245" s="13"/>
      <x:c r="J1245" s="13"/>
      <x:c r="K1245" s="13"/>
      <x:c r="L1245" s="13"/>
      <x:c r="M1245" s="13"/>
      <x:c r="N1245" s="13"/>
      <x:c r="O1245" s="13"/>
      <x:c r="P1245" s="13"/>
    </x:row>
    <x:row r="1246">
      <x:c r="E1246" s="13"/>
      <x:c r="F1246" s="13"/>
      <x:c r="G1246" s="13"/>
      <x:c r="H1246" s="13"/>
      <x:c r="I1246" s="13"/>
      <x:c r="J1246" s="13"/>
      <x:c r="K1246" s="13"/>
      <x:c r="L1246" s="13"/>
      <x:c r="M1246" s="13"/>
      <x:c r="N1246" s="13"/>
      <x:c r="O1246" s="13"/>
      <x:c r="P1246" s="13"/>
    </x:row>
    <x:row r="1247">
      <x:c r="E1247" s="13"/>
      <x:c r="F1247" s="13"/>
      <x:c r="G1247" s="13"/>
      <x:c r="H1247" s="13"/>
      <x:c r="I1247" s="13"/>
      <x:c r="J1247" s="13"/>
      <x:c r="K1247" s="13"/>
      <x:c r="L1247" s="13"/>
      <x:c r="M1247" s="13"/>
      <x:c r="N1247" s="13"/>
      <x:c r="O1247" s="13"/>
      <x:c r="P1247" s="13"/>
    </x:row>
    <x:row r="1248">
      <x:c r="E1248" s="13"/>
      <x:c r="F1248" s="13"/>
      <x:c r="G1248" s="13"/>
      <x:c r="H1248" s="13"/>
      <x:c r="I1248" s="13"/>
      <x:c r="J1248" s="13"/>
      <x:c r="K1248" s="13"/>
      <x:c r="L1248" s="13"/>
      <x:c r="M1248" s="13"/>
      <x:c r="N1248" s="13"/>
      <x:c r="O1248" s="13"/>
      <x:c r="P1248" s="13"/>
    </x:row>
    <x:row r="1249">
      <x:c r="E1249" s="13"/>
      <x:c r="F1249" s="13"/>
      <x:c r="G1249" s="13"/>
      <x:c r="H1249" s="13"/>
      <x:c r="I1249" s="13"/>
      <x:c r="J1249" s="13"/>
      <x:c r="K1249" s="13"/>
      <x:c r="L1249" s="13"/>
      <x:c r="M1249" s="13"/>
      <x:c r="N1249" s="13"/>
      <x:c r="O1249" s="13"/>
      <x:c r="P1249" s="13"/>
    </x:row>
    <x:row r="1250">
      <x:c r="E1250" s="13"/>
      <x:c r="F1250" s="13"/>
      <x:c r="G1250" s="13"/>
      <x:c r="H1250" s="13"/>
      <x:c r="I1250" s="13"/>
      <x:c r="J1250" s="13"/>
      <x:c r="K1250" s="13"/>
      <x:c r="L1250" s="13"/>
      <x:c r="M1250" s="13"/>
      <x:c r="N1250" s="13"/>
      <x:c r="O1250" s="13"/>
      <x:c r="P1250" s="13"/>
    </x:row>
    <x:row r="1251">
      <x:c r="E1251" s="13"/>
      <x:c r="F1251" s="13"/>
      <x:c r="G1251" s="13"/>
      <x:c r="H1251" s="13"/>
      <x:c r="I1251" s="13"/>
      <x:c r="J1251" s="13"/>
      <x:c r="K1251" s="13"/>
      <x:c r="L1251" s="13"/>
      <x:c r="M1251" s="13"/>
      <x:c r="N1251" s="13"/>
      <x:c r="O1251" s="13"/>
      <x:c r="P1251" s="13"/>
    </x:row>
    <x:row r="1252">
      <x:c r="E1252" s="13"/>
      <x:c r="F1252" s="13"/>
      <x:c r="G1252" s="13"/>
      <x:c r="H1252" s="13"/>
      <x:c r="I1252" s="13"/>
      <x:c r="J1252" s="13"/>
      <x:c r="K1252" s="13"/>
      <x:c r="L1252" s="13"/>
      <x:c r="M1252" s="13"/>
      <x:c r="N1252" s="13"/>
      <x:c r="O1252" s="13"/>
      <x:c r="P1252" s="13"/>
    </x:row>
    <x:row r="1253">
      <x:c r="E1253" s="13"/>
      <x:c r="F1253" s="13"/>
      <x:c r="G1253" s="13"/>
      <x:c r="H1253" s="13"/>
      <x:c r="I1253" s="13"/>
      <x:c r="J1253" s="13"/>
      <x:c r="K1253" s="13"/>
      <x:c r="L1253" s="13"/>
      <x:c r="M1253" s="13"/>
      <x:c r="N1253" s="13"/>
      <x:c r="O1253" s="13"/>
      <x:c r="P1253" s="13"/>
    </x:row>
    <x:row r="1254">
      <x:c r="E1254" s="13"/>
      <x:c r="F1254" s="13"/>
      <x:c r="G1254" s="13"/>
      <x:c r="H1254" s="13"/>
      <x:c r="I1254" s="13"/>
      <x:c r="J1254" s="13"/>
      <x:c r="K1254" s="13"/>
      <x:c r="L1254" s="13"/>
      <x:c r="M1254" s="13"/>
      <x:c r="N1254" s="13"/>
      <x:c r="O1254" s="13"/>
      <x:c r="P1254" s="13"/>
    </x:row>
    <x:row r="1255">
      <x:c r="E1255" s="13"/>
      <x:c r="F1255" s="13"/>
      <x:c r="G1255" s="13"/>
      <x:c r="H1255" s="13"/>
      <x:c r="I1255" s="13"/>
      <x:c r="J1255" s="13"/>
      <x:c r="K1255" s="13"/>
      <x:c r="L1255" s="13"/>
      <x:c r="M1255" s="13"/>
      <x:c r="N1255" s="13"/>
      <x:c r="O1255" s="13"/>
      <x:c r="P1255" s="13"/>
    </x:row>
    <x:row r="1256">
      <x:c r="E1256" s="13"/>
      <x:c r="F1256" s="13"/>
      <x:c r="G1256" s="13"/>
      <x:c r="H1256" s="13"/>
      <x:c r="I1256" s="13"/>
      <x:c r="J1256" s="13"/>
      <x:c r="K1256" s="13"/>
      <x:c r="L1256" s="13"/>
      <x:c r="M1256" s="13"/>
      <x:c r="N1256" s="13"/>
      <x:c r="O1256" s="13"/>
      <x:c r="P1256" s="13"/>
    </x:row>
    <x:row r="1257">
      <x:c r="E1257" s="13"/>
      <x:c r="F1257" s="13"/>
      <x:c r="G1257" s="13"/>
      <x:c r="H1257" s="13"/>
      <x:c r="I1257" s="13"/>
      <x:c r="J1257" s="13"/>
      <x:c r="K1257" s="13"/>
      <x:c r="L1257" s="13"/>
      <x:c r="M1257" s="13"/>
      <x:c r="N1257" s="13"/>
      <x:c r="O1257" s="13"/>
      <x:c r="P1257" s="13"/>
    </x:row>
    <x:row r="1258">
      <x:c r="E1258" s="13"/>
      <x:c r="F1258" s="13"/>
      <x:c r="G1258" s="13"/>
      <x:c r="H1258" s="13"/>
      <x:c r="I1258" s="13"/>
      <x:c r="J1258" s="13"/>
      <x:c r="K1258" s="13"/>
      <x:c r="L1258" s="13"/>
      <x:c r="M1258" s="13"/>
      <x:c r="N1258" s="13"/>
      <x:c r="O1258" s="13"/>
      <x:c r="P1258" s="13"/>
    </x:row>
    <x:row r="1259">
      <x:c r="E1259" s="13"/>
      <x:c r="F1259" s="13"/>
      <x:c r="G1259" s="13"/>
      <x:c r="H1259" s="13"/>
      <x:c r="I1259" s="13"/>
      <x:c r="J1259" s="13"/>
      <x:c r="K1259" s="13"/>
      <x:c r="L1259" s="13"/>
      <x:c r="M1259" s="13"/>
      <x:c r="N1259" s="13"/>
      <x:c r="O1259" s="13"/>
      <x:c r="P1259" s="13"/>
    </x:row>
    <x:row r="1260">
      <x:c r="E1260" s="13"/>
      <x:c r="F1260" s="13"/>
      <x:c r="G1260" s="13"/>
      <x:c r="H1260" s="13"/>
      <x:c r="I1260" s="13"/>
      <x:c r="J1260" s="13"/>
      <x:c r="K1260" s="13"/>
      <x:c r="L1260" s="13"/>
      <x:c r="M1260" s="13"/>
      <x:c r="N1260" s="13"/>
      <x:c r="O1260" s="13"/>
      <x:c r="P1260" s="13"/>
    </x:row>
    <x:row r="1261">
      <x:c r="E1261" s="13"/>
      <x:c r="F1261" s="13"/>
      <x:c r="G1261" s="13"/>
      <x:c r="H1261" s="13"/>
      <x:c r="I1261" s="13"/>
      <x:c r="J1261" s="13"/>
      <x:c r="K1261" s="13"/>
      <x:c r="L1261" s="13"/>
      <x:c r="M1261" s="13"/>
      <x:c r="N1261" s="13"/>
      <x:c r="O1261" s="13"/>
      <x:c r="P1261" s="13"/>
    </x:row>
    <x:row r="1262">
      <x:c r="E1262" s="13"/>
      <x:c r="F1262" s="13"/>
      <x:c r="G1262" s="13"/>
      <x:c r="H1262" s="13"/>
      <x:c r="I1262" s="13"/>
      <x:c r="J1262" s="13"/>
      <x:c r="K1262" s="13"/>
      <x:c r="L1262" s="13"/>
      <x:c r="M1262" s="13"/>
      <x:c r="N1262" s="13"/>
      <x:c r="O1262" s="13"/>
      <x:c r="P1262" s="13"/>
    </x:row>
    <x:row r="1263">
      <x:c r="E1263" s="13"/>
      <x:c r="F1263" s="13"/>
      <x:c r="G1263" s="13"/>
      <x:c r="H1263" s="13"/>
      <x:c r="I1263" s="13"/>
      <x:c r="J1263" s="13"/>
      <x:c r="K1263" s="13"/>
      <x:c r="L1263" s="13"/>
      <x:c r="M1263" s="13"/>
      <x:c r="N1263" s="13"/>
      <x:c r="O1263" s="13"/>
      <x:c r="P1263" s="13"/>
    </x:row>
    <x:row r="1264">
      <x:c r="E1264" s="13"/>
      <x:c r="F1264" s="13"/>
      <x:c r="G1264" s="13"/>
      <x:c r="H1264" s="13"/>
      <x:c r="I1264" s="13"/>
      <x:c r="J1264" s="13"/>
      <x:c r="K1264" s="13"/>
      <x:c r="L1264" s="13"/>
      <x:c r="M1264" s="13"/>
      <x:c r="N1264" s="13"/>
      <x:c r="O1264" s="13"/>
      <x:c r="P1264" s="13"/>
    </x:row>
    <x:row r="1265">
      <x:c r="E1265" s="13"/>
      <x:c r="F1265" s="13"/>
      <x:c r="G1265" s="13"/>
      <x:c r="H1265" s="13"/>
      <x:c r="I1265" s="13"/>
      <x:c r="J1265" s="13"/>
      <x:c r="K1265" s="13"/>
      <x:c r="L1265" s="13"/>
      <x:c r="M1265" s="13"/>
      <x:c r="N1265" s="13"/>
      <x:c r="O1265" s="13"/>
      <x:c r="P1265" s="13"/>
    </x:row>
    <x:row r="1266">
      <x:c r="E1266" s="13"/>
      <x:c r="F1266" s="13"/>
      <x:c r="G1266" s="13"/>
      <x:c r="H1266" s="13"/>
      <x:c r="I1266" s="13"/>
      <x:c r="J1266" s="13"/>
      <x:c r="K1266" s="13"/>
      <x:c r="L1266" s="13"/>
      <x:c r="M1266" s="13"/>
      <x:c r="N1266" s="13"/>
      <x:c r="O1266" s="13"/>
      <x:c r="P1266" s="13"/>
    </x:row>
    <x:row r="1267">
      <x:c r="E1267" s="13"/>
      <x:c r="F1267" s="13"/>
      <x:c r="G1267" s="13"/>
      <x:c r="H1267" s="13"/>
      <x:c r="I1267" s="13"/>
      <x:c r="J1267" s="13"/>
      <x:c r="K1267" s="13"/>
      <x:c r="L1267" s="13"/>
      <x:c r="M1267" s="13"/>
      <x:c r="N1267" s="13"/>
      <x:c r="O1267" s="13"/>
      <x:c r="P1267" s="13"/>
    </x:row>
    <x:row r="1268">
      <x:c r="E1268" s="13"/>
      <x:c r="F1268" s="13"/>
      <x:c r="G1268" s="13"/>
      <x:c r="H1268" s="13"/>
      <x:c r="I1268" s="13"/>
      <x:c r="J1268" s="13"/>
      <x:c r="K1268" s="13"/>
      <x:c r="L1268" s="13"/>
      <x:c r="M1268" s="13"/>
      <x:c r="N1268" s="13"/>
      <x:c r="O1268" s="13"/>
      <x:c r="P1268" s="13"/>
    </x:row>
    <x:row r="1269">
      <x:c r="E1269" s="13"/>
      <x:c r="F1269" s="13"/>
      <x:c r="G1269" s="13"/>
      <x:c r="H1269" s="13"/>
      <x:c r="I1269" s="13"/>
      <x:c r="J1269" s="13"/>
      <x:c r="K1269" s="13"/>
      <x:c r="L1269" s="13"/>
      <x:c r="M1269" s="13"/>
      <x:c r="N1269" s="13"/>
      <x:c r="O1269" s="13"/>
      <x:c r="P1269" s="13"/>
    </x:row>
    <x:row r="1270">
      <x:c r="E1270" s="13"/>
      <x:c r="F1270" s="13"/>
      <x:c r="G1270" s="13"/>
      <x:c r="H1270" s="13"/>
      <x:c r="I1270" s="13"/>
      <x:c r="J1270" s="13"/>
      <x:c r="K1270" s="13"/>
      <x:c r="L1270" s="13"/>
      <x:c r="M1270" s="13"/>
      <x:c r="N1270" s="13"/>
      <x:c r="O1270" s="13"/>
      <x:c r="P1270" s="13"/>
    </x:row>
    <x:row r="1271">
      <x:c r="E1271" s="13"/>
      <x:c r="F1271" s="13"/>
      <x:c r="G1271" s="13"/>
      <x:c r="H1271" s="13"/>
      <x:c r="I1271" s="13"/>
      <x:c r="J1271" s="13"/>
      <x:c r="K1271" s="13"/>
      <x:c r="L1271" s="13"/>
      <x:c r="M1271" s="13"/>
      <x:c r="N1271" s="13"/>
      <x:c r="O1271" s="13"/>
      <x:c r="P1271" s="13"/>
    </x:row>
    <x:row r="1272">
      <x:c r="E1272" s="13"/>
      <x:c r="F1272" s="13"/>
      <x:c r="G1272" s="13"/>
      <x:c r="H1272" s="13"/>
      <x:c r="I1272" s="13"/>
      <x:c r="J1272" s="13"/>
      <x:c r="K1272" s="13"/>
      <x:c r="L1272" s="13"/>
      <x:c r="M1272" s="13"/>
      <x:c r="N1272" s="13"/>
      <x:c r="O1272" s="13"/>
      <x:c r="P1272" s="13"/>
    </x:row>
    <x:row r="1273">
      <x:c r="E1273" s="13"/>
      <x:c r="F1273" s="13"/>
      <x:c r="G1273" s="13"/>
      <x:c r="H1273" s="13"/>
      <x:c r="I1273" s="13"/>
      <x:c r="J1273" s="13"/>
      <x:c r="K1273" s="13"/>
      <x:c r="L1273" s="13"/>
      <x:c r="M1273" s="13"/>
      <x:c r="N1273" s="13"/>
      <x:c r="O1273" s="13"/>
      <x:c r="P1273" s="13"/>
    </x:row>
    <x:row r="1274">
      <x:c r="E1274" s="13"/>
      <x:c r="F1274" s="13"/>
      <x:c r="G1274" s="13"/>
      <x:c r="H1274" s="13"/>
      <x:c r="I1274" s="13"/>
      <x:c r="J1274" s="13"/>
      <x:c r="K1274" s="13"/>
      <x:c r="L1274" s="13"/>
      <x:c r="M1274" s="13"/>
      <x:c r="N1274" s="13"/>
      <x:c r="O1274" s="13"/>
      <x:c r="P1274" s="13"/>
    </x:row>
    <x:row r="1275">
      <x:c r="E1275" s="13"/>
      <x:c r="F1275" s="13"/>
      <x:c r="G1275" s="13"/>
      <x:c r="H1275" s="13"/>
      <x:c r="I1275" s="13"/>
      <x:c r="J1275" s="13"/>
      <x:c r="K1275" s="13"/>
      <x:c r="L1275" s="13"/>
      <x:c r="M1275" s="13"/>
      <x:c r="N1275" s="13"/>
      <x:c r="O1275" s="13"/>
      <x:c r="P1275" s="13"/>
    </x:row>
    <x:row r="1276">
      <x:c r="E1276" s="13"/>
      <x:c r="F1276" s="13"/>
      <x:c r="G1276" s="13"/>
      <x:c r="H1276" s="13"/>
      <x:c r="I1276" s="13"/>
      <x:c r="J1276" s="13"/>
      <x:c r="K1276" s="13"/>
      <x:c r="L1276" s="13"/>
      <x:c r="M1276" s="13"/>
      <x:c r="N1276" s="13"/>
      <x:c r="O1276" s="13"/>
      <x:c r="P1276" s="13"/>
    </x:row>
    <x:row r="1277">
      <x:c r="E1277" s="13"/>
      <x:c r="F1277" s="13"/>
      <x:c r="G1277" s="13"/>
      <x:c r="H1277" s="13"/>
      <x:c r="I1277" s="13"/>
      <x:c r="J1277" s="13"/>
      <x:c r="K1277" s="13"/>
      <x:c r="L1277" s="13"/>
      <x:c r="M1277" s="13"/>
      <x:c r="N1277" s="13"/>
      <x:c r="O1277" s="13"/>
      <x:c r="P1277" s="13"/>
    </x:row>
    <x:row r="1278">
      <x:c r="E1278" s="13"/>
      <x:c r="F1278" s="13"/>
      <x:c r="G1278" s="13"/>
      <x:c r="H1278" s="13"/>
      <x:c r="I1278" s="13"/>
      <x:c r="J1278" s="13"/>
      <x:c r="K1278" s="13"/>
      <x:c r="L1278" s="13"/>
      <x:c r="M1278" s="13"/>
      <x:c r="N1278" s="13"/>
      <x:c r="O1278" s="13"/>
      <x:c r="P1278" s="13"/>
    </x:row>
    <x:row r="1279">
      <x:c r="E1279" s="13"/>
      <x:c r="F1279" s="13"/>
      <x:c r="G1279" s="13"/>
      <x:c r="H1279" s="13"/>
      <x:c r="I1279" s="13"/>
      <x:c r="J1279" s="13"/>
      <x:c r="K1279" s="13"/>
      <x:c r="L1279" s="13"/>
      <x:c r="M1279" s="13"/>
      <x:c r="N1279" s="13"/>
      <x:c r="O1279" s="13"/>
      <x:c r="P1279" s="13"/>
    </x:row>
    <x:row r="1280">
      <x:c r="E1280" s="13"/>
      <x:c r="F1280" s="13"/>
      <x:c r="G1280" s="13"/>
      <x:c r="H1280" s="13"/>
      <x:c r="I1280" s="13"/>
      <x:c r="J1280" s="13"/>
      <x:c r="K1280" s="13"/>
      <x:c r="L1280" s="13"/>
      <x:c r="M1280" s="13"/>
      <x:c r="N1280" s="13"/>
      <x:c r="O1280" s="13"/>
      <x:c r="P1280" s="13"/>
    </x:row>
    <x:row r="1281">
      <x:c r="E1281" s="13"/>
      <x:c r="F1281" s="13"/>
      <x:c r="G1281" s="13"/>
      <x:c r="H1281" s="13"/>
      <x:c r="I1281" s="13"/>
      <x:c r="J1281" s="13"/>
      <x:c r="K1281" s="13"/>
      <x:c r="L1281" s="13"/>
      <x:c r="M1281" s="13"/>
      <x:c r="N1281" s="13"/>
      <x:c r="O1281" s="13"/>
      <x:c r="P1281" s="13"/>
    </x:row>
    <x:row r="1282">
      <x:c r="E1282" s="13"/>
      <x:c r="F1282" s="13"/>
      <x:c r="G1282" s="13"/>
      <x:c r="H1282" s="13"/>
      <x:c r="I1282" s="13"/>
      <x:c r="J1282" s="13"/>
      <x:c r="K1282" s="13"/>
      <x:c r="L1282" s="13"/>
      <x:c r="M1282" s="13"/>
      <x:c r="N1282" s="13"/>
      <x:c r="O1282" s="13"/>
      <x:c r="P1282" s="13"/>
    </x:row>
    <x:row r="1283">
      <x:c r="E1283" s="13"/>
      <x:c r="F1283" s="13"/>
      <x:c r="G1283" s="13"/>
      <x:c r="H1283" s="13"/>
      <x:c r="I1283" s="13"/>
      <x:c r="J1283" s="13"/>
      <x:c r="K1283" s="13"/>
      <x:c r="L1283" s="13"/>
      <x:c r="M1283" s="13"/>
      <x:c r="N1283" s="13"/>
      <x:c r="O1283" s="13"/>
      <x:c r="P1283" s="13"/>
    </x:row>
    <x:row r="1284">
      <x:c r="E1284" s="13"/>
      <x:c r="F1284" s="13"/>
      <x:c r="G1284" s="13"/>
      <x:c r="H1284" s="13"/>
      <x:c r="I1284" s="13"/>
      <x:c r="J1284" s="13"/>
      <x:c r="K1284" s="13"/>
      <x:c r="L1284" s="13"/>
      <x:c r="M1284" s="13"/>
      <x:c r="N1284" s="13"/>
      <x:c r="O1284" s="13"/>
      <x:c r="P1284" s="13"/>
    </x:row>
    <x:row r="1285">
      <x:c r="E1285" s="13"/>
      <x:c r="F1285" s="13"/>
      <x:c r="G1285" s="13"/>
      <x:c r="H1285" s="13"/>
      <x:c r="I1285" s="13"/>
      <x:c r="J1285" s="13"/>
      <x:c r="K1285" s="13"/>
      <x:c r="L1285" s="13"/>
      <x:c r="M1285" s="13"/>
      <x:c r="N1285" s="13"/>
      <x:c r="O1285" s="13"/>
      <x:c r="P1285" s="13"/>
    </x:row>
    <x:row r="1286">
      <x:c r="E1286" s="13"/>
      <x:c r="F1286" s="13"/>
      <x:c r="G1286" s="13"/>
      <x:c r="H1286" s="13"/>
      <x:c r="I1286" s="13"/>
      <x:c r="J1286" s="13"/>
      <x:c r="K1286" s="13"/>
      <x:c r="L1286" s="13"/>
      <x:c r="M1286" s="13"/>
      <x:c r="N1286" s="13"/>
      <x:c r="O1286" s="13"/>
      <x:c r="P1286" s="13"/>
    </x:row>
    <x:row r="1287">
      <x:c r="E1287" s="13"/>
      <x:c r="F1287" s="13"/>
      <x:c r="G1287" s="13"/>
      <x:c r="H1287" s="13"/>
      <x:c r="I1287" s="13"/>
      <x:c r="J1287" s="13"/>
      <x:c r="K1287" s="13"/>
      <x:c r="L1287" s="13"/>
      <x:c r="M1287" s="13"/>
      <x:c r="N1287" s="13"/>
      <x:c r="O1287" s="13"/>
      <x:c r="P1287" s="13"/>
    </x:row>
    <x:row r="1288">
      <x:c r="E1288" s="13"/>
      <x:c r="F1288" s="13"/>
      <x:c r="G1288" s="13"/>
      <x:c r="H1288" s="13"/>
      <x:c r="I1288" s="13"/>
      <x:c r="J1288" s="13"/>
      <x:c r="K1288" s="13"/>
      <x:c r="L1288" s="13"/>
      <x:c r="M1288" s="13"/>
      <x:c r="N1288" s="13"/>
      <x:c r="O1288" s="13"/>
      <x:c r="P1288" s="13"/>
    </x:row>
    <x:row r="1289">
      <x:c r="E1289" s="13"/>
      <x:c r="F1289" s="13"/>
      <x:c r="G1289" s="13"/>
      <x:c r="H1289" s="13"/>
      <x:c r="I1289" s="13"/>
      <x:c r="J1289" s="13"/>
      <x:c r="K1289" s="13"/>
      <x:c r="L1289" s="13"/>
      <x:c r="M1289" s="13"/>
      <x:c r="N1289" s="13"/>
      <x:c r="O1289" s="13"/>
      <x:c r="P1289" s="13"/>
    </x:row>
    <x:row r="1290">
      <x:c r="E1290" s="13"/>
      <x:c r="F1290" s="13"/>
      <x:c r="G1290" s="13"/>
      <x:c r="H1290" s="13"/>
      <x:c r="I1290" s="13"/>
      <x:c r="J1290" s="13"/>
      <x:c r="K1290" s="13"/>
      <x:c r="L1290" s="13"/>
      <x:c r="M1290" s="13"/>
      <x:c r="N1290" s="13"/>
      <x:c r="O1290" s="13"/>
      <x:c r="P1290" s="13"/>
    </x:row>
    <x:row r="1291">
      <x:c r="E1291" s="13"/>
      <x:c r="F1291" s="13"/>
      <x:c r="G1291" s="13"/>
      <x:c r="H1291" s="13"/>
      <x:c r="I1291" s="13"/>
      <x:c r="J1291" s="13"/>
      <x:c r="K1291" s="13"/>
      <x:c r="L1291" s="13"/>
      <x:c r="M1291" s="13"/>
      <x:c r="N1291" s="13"/>
      <x:c r="O1291" s="13"/>
      <x:c r="P1291" s="13"/>
    </x:row>
    <x:row r="1292">
      <x:c r="E1292" s="13"/>
      <x:c r="F1292" s="13"/>
      <x:c r="G1292" s="13"/>
      <x:c r="H1292" s="13"/>
      <x:c r="I1292" s="13"/>
      <x:c r="J1292" s="13"/>
      <x:c r="K1292" s="13"/>
      <x:c r="L1292" s="13"/>
      <x:c r="M1292" s="13"/>
      <x:c r="N1292" s="13"/>
      <x:c r="O1292" s="13"/>
      <x:c r="P1292" s="13"/>
    </x:row>
    <x:row r="1293">
      <x:c r="E1293" s="13"/>
      <x:c r="F1293" s="13"/>
      <x:c r="G1293" s="13"/>
      <x:c r="H1293" s="13"/>
      <x:c r="I1293" s="13"/>
      <x:c r="J1293" s="13"/>
      <x:c r="K1293" s="13"/>
      <x:c r="L1293" s="13"/>
      <x:c r="M1293" s="13"/>
      <x:c r="N1293" s="13"/>
      <x:c r="O1293" s="13"/>
      <x:c r="P1293" s="13"/>
    </x:row>
    <x:row r="1294">
      <x:c r="E1294" s="13"/>
      <x:c r="F1294" s="13"/>
      <x:c r="G1294" s="13"/>
      <x:c r="H1294" s="13"/>
      <x:c r="I1294" s="13"/>
      <x:c r="J1294" s="13"/>
      <x:c r="K1294" s="13"/>
      <x:c r="L1294" s="13"/>
      <x:c r="M1294" s="13"/>
      <x:c r="N1294" s="13"/>
      <x:c r="O1294" s="13"/>
      <x:c r="P1294" s="13"/>
    </x:row>
    <x:row r="1295">
      <x:c r="E1295" s="13"/>
      <x:c r="F1295" s="13"/>
      <x:c r="G1295" s="13"/>
      <x:c r="H1295" s="13"/>
      <x:c r="I1295" s="13"/>
      <x:c r="J1295" s="13"/>
      <x:c r="K1295" s="13"/>
      <x:c r="L1295" s="13"/>
      <x:c r="M1295" s="13"/>
      <x:c r="N1295" s="13"/>
      <x:c r="O1295" s="13"/>
      <x:c r="P1295" s="13"/>
    </x:row>
    <x:row r="1296">
      <x:c r="E1296" s="13"/>
      <x:c r="F1296" s="13"/>
      <x:c r="G1296" s="13"/>
      <x:c r="H1296" s="13"/>
      <x:c r="I1296" s="13"/>
      <x:c r="J1296" s="13"/>
      <x:c r="K1296" s="13"/>
      <x:c r="L1296" s="13"/>
      <x:c r="M1296" s="13"/>
      <x:c r="N1296" s="13"/>
      <x:c r="O1296" s="13"/>
      <x:c r="P1296" s="13"/>
    </x:row>
    <x:row r="1297">
      <x:c r="E1297" s="13"/>
      <x:c r="F1297" s="13"/>
      <x:c r="G1297" s="13"/>
      <x:c r="H1297" s="13"/>
      <x:c r="I1297" s="13"/>
      <x:c r="J1297" s="13"/>
      <x:c r="K1297" s="13"/>
      <x:c r="L1297" s="13"/>
      <x:c r="M1297" s="13"/>
      <x:c r="N1297" s="13"/>
      <x:c r="O1297" s="13"/>
      <x:c r="P1297" s="13"/>
    </x:row>
    <x:row r="1298">
      <x:c r="E1298" s="13"/>
      <x:c r="F1298" s="13"/>
      <x:c r="G1298" s="13"/>
      <x:c r="H1298" s="13"/>
      <x:c r="I1298" s="13"/>
      <x:c r="J1298" s="13"/>
      <x:c r="K1298" s="13"/>
      <x:c r="L1298" s="13"/>
      <x:c r="M1298" s="13"/>
      <x:c r="N1298" s="13"/>
      <x:c r="O1298" s="13"/>
      <x:c r="P1298" s="13"/>
    </x:row>
    <x:row r="1299">
      <x:c r="E1299" s="13"/>
      <x:c r="F1299" s="13"/>
      <x:c r="G1299" s="13"/>
      <x:c r="H1299" s="13"/>
      <x:c r="I1299" s="13"/>
      <x:c r="J1299" s="13"/>
      <x:c r="K1299" s="13"/>
      <x:c r="L1299" s="13"/>
      <x:c r="M1299" s="13"/>
      <x:c r="N1299" s="13"/>
      <x:c r="O1299" s="13"/>
      <x:c r="P1299" s="13"/>
    </x:row>
    <x:row r="1300">
      <x:c r="E1300" s="13"/>
      <x:c r="F1300" s="13"/>
      <x:c r="G1300" s="13"/>
      <x:c r="H1300" s="13"/>
      <x:c r="I1300" s="13"/>
      <x:c r="J1300" s="13"/>
      <x:c r="K1300" s="13"/>
      <x:c r="L1300" s="13"/>
      <x:c r="M1300" s="13"/>
      <x:c r="N1300" s="13"/>
      <x:c r="O1300" s="13"/>
      <x:c r="P1300" s="13"/>
    </x:row>
    <x:row r="1301">
      <x:c r="E1301" s="13"/>
      <x:c r="F1301" s="13"/>
      <x:c r="G1301" s="13"/>
      <x:c r="H1301" s="13"/>
      <x:c r="I1301" s="13"/>
      <x:c r="J1301" s="13"/>
      <x:c r="K1301" s="13"/>
      <x:c r="L1301" s="13"/>
      <x:c r="M1301" s="13"/>
      <x:c r="N1301" s="13"/>
      <x:c r="O1301" s="13"/>
      <x:c r="P1301" s="13"/>
    </x:row>
    <x:row r="1302">
      <x:c r="E1302" s="13"/>
      <x:c r="F1302" s="13"/>
      <x:c r="G1302" s="13"/>
      <x:c r="H1302" s="13"/>
      <x:c r="I1302" s="13"/>
      <x:c r="J1302" s="13"/>
      <x:c r="K1302" s="13"/>
      <x:c r="L1302" s="13"/>
      <x:c r="M1302" s="13"/>
      <x:c r="N1302" s="13"/>
      <x:c r="O1302" s="13"/>
      <x:c r="P1302" s="13"/>
    </x:row>
    <x:row r="1303">
      <x:c r="E1303" s="13"/>
      <x:c r="F1303" s="13"/>
      <x:c r="G1303" s="13"/>
      <x:c r="H1303" s="13"/>
      <x:c r="I1303" s="13"/>
      <x:c r="J1303" s="13"/>
      <x:c r="K1303" s="13"/>
      <x:c r="L1303" s="13"/>
      <x:c r="M1303" s="13"/>
      <x:c r="N1303" s="13"/>
      <x:c r="O1303" s="13"/>
      <x:c r="P1303" s="13"/>
    </x:row>
    <x:row r="1304">
      <x:c r="E1304" s="13"/>
      <x:c r="F1304" s="13"/>
      <x:c r="G1304" s="13"/>
      <x:c r="H1304" s="13"/>
      <x:c r="I1304" s="13"/>
      <x:c r="J1304" s="13"/>
      <x:c r="K1304" s="13"/>
      <x:c r="L1304" s="13"/>
      <x:c r="M1304" s="13"/>
      <x:c r="N1304" s="13"/>
      <x:c r="O1304" s="13"/>
      <x:c r="P1304" s="13"/>
    </x:row>
    <x:row r="1305">
      <x:c r="E1305" s="13"/>
      <x:c r="F1305" s="13"/>
      <x:c r="G1305" s="13"/>
      <x:c r="H1305" s="13"/>
      <x:c r="I1305" s="13"/>
      <x:c r="J1305" s="13"/>
      <x:c r="K1305" s="13"/>
      <x:c r="L1305" s="13"/>
      <x:c r="M1305" s="13"/>
      <x:c r="N1305" s="13"/>
      <x:c r="O1305" s="13"/>
      <x:c r="P1305" s="13"/>
    </x:row>
    <x:row r="1306">
      <x:c r="E1306" s="13"/>
      <x:c r="F1306" s="13"/>
      <x:c r="G1306" s="13"/>
      <x:c r="H1306" s="13"/>
      <x:c r="I1306" s="13"/>
      <x:c r="J1306" s="13"/>
      <x:c r="K1306" s="13"/>
      <x:c r="L1306" s="13"/>
      <x:c r="M1306" s="13"/>
      <x:c r="N1306" s="13"/>
      <x:c r="O1306" s="13"/>
      <x:c r="P1306" s="13"/>
    </x:row>
    <x:row r="1307">
      <x:c r="E1307" s="13"/>
      <x:c r="F1307" s="13"/>
      <x:c r="G1307" s="13"/>
      <x:c r="H1307" s="13"/>
      <x:c r="I1307" s="13"/>
      <x:c r="J1307" s="13"/>
      <x:c r="K1307" s="13"/>
      <x:c r="L1307" s="13"/>
      <x:c r="M1307" s="13"/>
      <x:c r="N1307" s="13"/>
      <x:c r="O1307" s="13"/>
      <x:c r="P1307" s="13"/>
    </x:row>
    <x:row r="1308">
      <x:c r="E1308" s="13"/>
      <x:c r="F1308" s="13"/>
      <x:c r="G1308" s="13"/>
      <x:c r="H1308" s="13"/>
      <x:c r="I1308" s="13"/>
      <x:c r="J1308" s="13"/>
      <x:c r="K1308" s="13"/>
      <x:c r="L1308" s="13"/>
      <x:c r="M1308" s="13"/>
      <x:c r="N1308" s="13"/>
      <x:c r="O1308" s="13"/>
      <x:c r="P1308" s="13"/>
    </x:row>
    <x:row r="1309">
      <x:c r="E1309" s="13"/>
      <x:c r="F1309" s="13"/>
      <x:c r="G1309" s="13"/>
      <x:c r="H1309" s="13"/>
      <x:c r="I1309" s="13"/>
      <x:c r="J1309" s="13"/>
      <x:c r="K1309" s="13"/>
      <x:c r="L1309" s="13"/>
      <x:c r="M1309" s="13"/>
      <x:c r="N1309" s="13"/>
      <x:c r="O1309" s="13"/>
      <x:c r="P1309" s="13"/>
    </x:row>
    <x:row r="1310">
      <x:c r="E1310" s="13"/>
      <x:c r="F1310" s="13"/>
      <x:c r="G1310" s="13"/>
      <x:c r="H1310" s="13"/>
      <x:c r="I1310" s="13"/>
      <x:c r="J1310" s="13"/>
      <x:c r="K1310" s="13"/>
      <x:c r="L1310" s="13"/>
      <x:c r="M1310" s="13"/>
      <x:c r="N1310" s="13"/>
      <x:c r="O1310" s="13"/>
      <x:c r="P1310" s="13"/>
    </x:row>
    <x:row r="1311">
      <x:c r="E1311" s="13"/>
      <x:c r="F1311" s="13"/>
      <x:c r="G1311" s="13"/>
      <x:c r="H1311" s="13"/>
      <x:c r="I1311" s="13"/>
      <x:c r="J1311" s="13"/>
      <x:c r="K1311" s="13"/>
      <x:c r="L1311" s="13"/>
      <x:c r="M1311" s="13"/>
      <x:c r="N1311" s="13"/>
      <x:c r="O1311" s="13"/>
      <x:c r="P1311" s="13"/>
    </x:row>
    <x:row r="1312">
      <x:c r="E1312" s="13"/>
      <x:c r="F1312" s="13"/>
      <x:c r="G1312" s="13"/>
      <x:c r="H1312" s="13"/>
      <x:c r="I1312" s="13"/>
      <x:c r="J1312" s="13"/>
      <x:c r="K1312" s="13"/>
      <x:c r="L1312" s="13"/>
      <x:c r="M1312" s="13"/>
      <x:c r="N1312" s="13"/>
      <x:c r="O1312" s="13"/>
      <x:c r="P1312" s="13"/>
    </x:row>
    <x:row r="1313">
      <x:c r="E1313" s="13"/>
      <x:c r="F1313" s="13"/>
      <x:c r="G1313" s="13"/>
      <x:c r="H1313" s="13"/>
      <x:c r="I1313" s="13"/>
      <x:c r="J1313" s="13"/>
      <x:c r="K1313" s="13"/>
      <x:c r="L1313" s="13"/>
      <x:c r="M1313" s="13"/>
      <x:c r="N1313" s="13"/>
      <x:c r="O1313" s="13"/>
      <x:c r="P1313" s="13"/>
    </x:row>
    <x:row r="1314">
      <x:c r="E1314" s="13"/>
      <x:c r="F1314" s="13"/>
      <x:c r="G1314" s="13"/>
      <x:c r="H1314" s="13"/>
      <x:c r="I1314" s="13"/>
      <x:c r="J1314" s="13"/>
      <x:c r="K1314" s="13"/>
      <x:c r="L1314" s="13"/>
      <x:c r="M1314" s="13"/>
      <x:c r="N1314" s="13"/>
      <x:c r="O1314" s="13"/>
      <x:c r="P1314" s="13"/>
    </x:row>
    <x:row r="1315">
      <x:c r="E1315" s="13"/>
      <x:c r="F1315" s="13"/>
      <x:c r="G1315" s="13"/>
      <x:c r="H1315" s="13"/>
      <x:c r="I1315" s="13"/>
      <x:c r="J1315" s="13"/>
      <x:c r="K1315" s="13"/>
      <x:c r="L1315" s="13"/>
      <x:c r="M1315" s="13"/>
      <x:c r="N1315" s="13"/>
      <x:c r="O1315" s="13"/>
      <x:c r="P1315" s="13"/>
    </x:row>
    <x:row r="1316">
      <x:c r="E1316" s="13"/>
      <x:c r="F1316" s="13"/>
      <x:c r="G1316" s="13"/>
      <x:c r="H1316" s="13"/>
      <x:c r="I1316" s="13"/>
      <x:c r="J1316" s="13"/>
      <x:c r="K1316" s="13"/>
      <x:c r="L1316" s="13"/>
      <x:c r="M1316" s="13"/>
      <x:c r="N1316" s="13"/>
      <x:c r="O1316" s="13"/>
      <x:c r="P1316" s="13"/>
    </x:row>
    <x:row r="1317">
      <x:c r="E1317" s="13"/>
      <x:c r="F1317" s="13"/>
      <x:c r="G1317" s="13"/>
      <x:c r="H1317" s="13"/>
      <x:c r="I1317" s="13"/>
      <x:c r="J1317" s="13"/>
      <x:c r="K1317" s="13"/>
      <x:c r="L1317" s="13"/>
      <x:c r="M1317" s="13"/>
      <x:c r="N1317" s="13"/>
      <x:c r="O1317" s="13"/>
      <x:c r="P1317" s="13"/>
    </x:row>
    <x:row r="1318">
      <x:c r="E1318" s="13"/>
      <x:c r="F1318" s="13"/>
      <x:c r="G1318" s="13"/>
      <x:c r="H1318" s="13"/>
      <x:c r="I1318" s="13"/>
      <x:c r="J1318" s="13"/>
      <x:c r="K1318" s="13"/>
      <x:c r="L1318" s="13"/>
      <x:c r="M1318" s="13"/>
      <x:c r="N1318" s="13"/>
      <x:c r="O1318" s="13"/>
      <x:c r="P1318" s="13"/>
    </x:row>
    <x:row r="1319">
      <x:c r="E1319" s="13"/>
      <x:c r="F1319" s="13"/>
      <x:c r="G1319" s="13"/>
      <x:c r="H1319" s="13"/>
      <x:c r="I1319" s="13"/>
      <x:c r="J1319" s="13"/>
      <x:c r="K1319" s="13"/>
      <x:c r="L1319" s="13"/>
      <x:c r="M1319" s="13"/>
      <x:c r="N1319" s="13"/>
      <x:c r="O1319" s="13"/>
      <x:c r="P1319" s="13"/>
    </x:row>
    <x:row r="1320">
      <x:c r="E1320" s="13"/>
      <x:c r="F1320" s="13"/>
      <x:c r="G1320" s="13"/>
      <x:c r="H1320" s="13"/>
      <x:c r="I1320" s="13"/>
      <x:c r="J1320" s="13"/>
      <x:c r="K1320" s="13"/>
      <x:c r="L1320" s="13"/>
      <x:c r="M1320" s="13"/>
      <x:c r="N1320" s="13"/>
      <x:c r="O1320" s="13"/>
      <x:c r="P1320" s="13"/>
    </x:row>
    <x:row r="1321">
      <x:c r="E1321" s="13"/>
      <x:c r="F1321" s="13"/>
      <x:c r="G1321" s="13"/>
      <x:c r="H1321" s="13"/>
      <x:c r="I1321" s="13"/>
      <x:c r="J1321" s="13"/>
      <x:c r="K1321" s="13"/>
      <x:c r="L1321" s="13"/>
      <x:c r="M1321" s="13"/>
      <x:c r="N1321" s="13"/>
      <x:c r="O1321" s="13"/>
      <x:c r="P1321" s="13"/>
    </x:row>
    <x:row r="1322">
      <x:c r="E1322" s="13"/>
      <x:c r="F1322" s="13"/>
      <x:c r="G1322" s="13"/>
      <x:c r="H1322" s="13"/>
      <x:c r="I1322" s="13"/>
      <x:c r="J1322" s="13"/>
      <x:c r="K1322" s="13"/>
      <x:c r="L1322" s="13"/>
      <x:c r="M1322" s="13"/>
      <x:c r="N1322" s="13"/>
      <x:c r="O1322" s="13"/>
      <x:c r="P1322" s="13"/>
    </x:row>
    <x:row r="1323">
      <x:c r="E1323" s="13"/>
      <x:c r="F1323" s="13"/>
      <x:c r="G1323" s="13"/>
      <x:c r="H1323" s="13"/>
      <x:c r="I1323" s="13"/>
      <x:c r="J1323" s="13"/>
      <x:c r="K1323" s="13"/>
      <x:c r="L1323" s="13"/>
      <x:c r="M1323" s="13"/>
      <x:c r="N1323" s="13"/>
      <x:c r="O1323" s="13"/>
      <x:c r="P1323" s="13"/>
    </x:row>
    <x:row r="1324">
      <x:c r="E1324" s="13"/>
      <x:c r="F1324" s="13"/>
      <x:c r="G1324" s="13"/>
      <x:c r="H1324" s="13"/>
      <x:c r="I1324" s="13"/>
      <x:c r="J1324" s="13"/>
      <x:c r="K1324" s="13"/>
      <x:c r="L1324" s="13"/>
      <x:c r="M1324" s="13"/>
      <x:c r="N1324" s="13"/>
      <x:c r="O1324" s="13"/>
      <x:c r="P1324" s="13"/>
    </x:row>
    <x:row r="1325">
      <x:c r="E1325" s="13"/>
      <x:c r="F1325" s="13"/>
      <x:c r="G1325" s="13"/>
      <x:c r="H1325" s="13"/>
      <x:c r="I1325" s="13"/>
      <x:c r="J1325" s="13"/>
      <x:c r="K1325" s="13"/>
      <x:c r="L1325" s="13"/>
      <x:c r="M1325" s="13"/>
      <x:c r="N1325" s="13"/>
      <x:c r="O1325" s="13"/>
      <x:c r="P1325" s="13"/>
    </x:row>
    <x:row r="1326">
      <x:c r="E1326" s="13"/>
      <x:c r="F1326" s="13"/>
      <x:c r="G1326" s="13"/>
      <x:c r="H1326" s="13"/>
      <x:c r="I1326" s="13"/>
      <x:c r="J1326" s="13"/>
      <x:c r="K1326" s="13"/>
      <x:c r="L1326" s="13"/>
      <x:c r="M1326" s="13"/>
      <x:c r="N1326" s="13"/>
      <x:c r="O1326" s="13"/>
      <x:c r="P1326" s="13"/>
    </x:row>
    <x:row r="1327">
      <x:c r="E1327" s="13"/>
      <x:c r="F1327" s="13"/>
      <x:c r="G1327" s="13"/>
      <x:c r="H1327" s="13"/>
      <x:c r="I1327" s="13"/>
      <x:c r="J1327" s="13"/>
      <x:c r="K1327" s="13"/>
      <x:c r="L1327" s="13"/>
      <x:c r="M1327" s="13"/>
      <x:c r="N1327" s="13"/>
      <x:c r="O1327" s="13"/>
      <x:c r="P1327" s="13"/>
    </x:row>
    <x:row r="1328">
      <x:c r="E1328" s="13"/>
      <x:c r="F1328" s="13"/>
      <x:c r="G1328" s="13"/>
      <x:c r="H1328" s="13"/>
      <x:c r="I1328" s="13"/>
      <x:c r="J1328" s="13"/>
      <x:c r="K1328" s="13"/>
      <x:c r="L1328" s="13"/>
      <x:c r="M1328" s="13"/>
      <x:c r="N1328" s="13"/>
      <x:c r="O1328" s="13"/>
      <x:c r="P1328" s="13"/>
    </x:row>
    <x:row r="1329">
      <x:c r="E1329" s="13"/>
      <x:c r="F1329" s="13"/>
      <x:c r="G1329" s="13"/>
      <x:c r="H1329" s="13"/>
      <x:c r="I1329" s="13"/>
      <x:c r="J1329" s="13"/>
      <x:c r="K1329" s="13"/>
      <x:c r="L1329" s="13"/>
      <x:c r="M1329" s="13"/>
      <x:c r="N1329" s="13"/>
      <x:c r="O1329" s="13"/>
      <x:c r="P1329" s="13"/>
    </x:row>
    <x:row r="1330">
      <x:c r="E1330" s="13"/>
      <x:c r="F1330" s="13"/>
      <x:c r="G1330" s="13"/>
      <x:c r="H1330" s="13"/>
      <x:c r="I1330" s="13"/>
      <x:c r="J1330" s="13"/>
      <x:c r="K1330" s="13"/>
      <x:c r="L1330" s="13"/>
      <x:c r="M1330" s="13"/>
      <x:c r="N1330" s="13"/>
      <x:c r="O1330" s="13"/>
      <x:c r="P1330" s="13"/>
    </x:row>
    <x:row r="1331">
      <x:c r="E1331" s="13"/>
      <x:c r="F1331" s="13"/>
      <x:c r="G1331" s="13"/>
      <x:c r="H1331" s="13"/>
      <x:c r="I1331" s="13"/>
      <x:c r="J1331" s="13"/>
      <x:c r="K1331" s="13"/>
      <x:c r="L1331" s="13"/>
      <x:c r="M1331" s="13"/>
      <x:c r="N1331" s="13"/>
      <x:c r="O1331" s="13"/>
      <x:c r="P1331" s="13"/>
    </x:row>
    <x:row r="1332">
      <x:c r="E1332" s="13"/>
      <x:c r="F1332" s="13"/>
      <x:c r="G1332" s="13"/>
      <x:c r="H1332" s="13"/>
      <x:c r="I1332" s="13"/>
      <x:c r="J1332" s="13"/>
      <x:c r="K1332" s="13"/>
      <x:c r="L1332" s="13"/>
      <x:c r="M1332" s="13"/>
      <x:c r="N1332" s="13"/>
      <x:c r="O1332" s="13"/>
      <x:c r="P1332" s="13"/>
    </x:row>
    <x:row r="1333">
      <x:c r="E1333" s="13"/>
      <x:c r="F1333" s="13"/>
      <x:c r="G1333" s="13"/>
      <x:c r="H1333" s="13"/>
      <x:c r="I1333" s="13"/>
      <x:c r="J1333" s="13"/>
      <x:c r="K1333" s="13"/>
      <x:c r="L1333" s="13"/>
      <x:c r="M1333" s="13"/>
      <x:c r="N1333" s="13"/>
      <x:c r="O1333" s="13"/>
      <x:c r="P1333" s="13"/>
    </x:row>
    <x:row r="1334">
      <x:c r="E1334" s="13"/>
      <x:c r="F1334" s="13"/>
      <x:c r="G1334" s="13"/>
      <x:c r="H1334" s="13"/>
      <x:c r="I1334" s="13"/>
      <x:c r="J1334" s="13"/>
      <x:c r="K1334" s="13"/>
      <x:c r="L1334" s="13"/>
      <x:c r="M1334" s="13"/>
      <x:c r="N1334" s="13"/>
      <x:c r="O1334" s="13"/>
      <x:c r="P1334" s="13"/>
    </x:row>
    <x:row r="1335">
      <x:c r="E1335" s="13"/>
      <x:c r="F1335" s="13"/>
      <x:c r="G1335" s="13"/>
      <x:c r="H1335" s="13"/>
      <x:c r="I1335" s="13"/>
      <x:c r="J1335" s="13"/>
      <x:c r="K1335" s="13"/>
      <x:c r="L1335" s="13"/>
      <x:c r="M1335" s="13"/>
      <x:c r="N1335" s="13"/>
      <x:c r="O1335" s="13"/>
      <x:c r="P1335" s="13"/>
    </x:row>
    <x:row r="1336">
      <x:c r="E1336" s="13"/>
      <x:c r="F1336" s="13"/>
      <x:c r="G1336" s="13"/>
      <x:c r="H1336" s="13"/>
      <x:c r="I1336" s="13"/>
      <x:c r="J1336" s="13"/>
      <x:c r="K1336" s="13"/>
      <x:c r="L1336" s="13"/>
      <x:c r="M1336" s="13"/>
      <x:c r="N1336" s="13"/>
      <x:c r="O1336" s="13"/>
      <x:c r="P1336" s="13"/>
    </x:row>
    <x:row r="1337">
      <x:c r="E1337" s="13"/>
      <x:c r="F1337" s="13"/>
      <x:c r="G1337" s="13"/>
      <x:c r="H1337" s="13"/>
      <x:c r="I1337" s="13"/>
      <x:c r="J1337" s="13"/>
      <x:c r="K1337" s="13"/>
      <x:c r="L1337" s="13"/>
      <x:c r="M1337" s="13"/>
      <x:c r="N1337" s="13"/>
      <x:c r="O1337" s="13"/>
      <x:c r="P1337" s="13"/>
    </x:row>
    <x:row r="1338">
      <x:c r="E1338" s="13"/>
      <x:c r="F1338" s="13"/>
      <x:c r="G1338" s="13"/>
      <x:c r="H1338" s="13"/>
      <x:c r="I1338" s="13"/>
      <x:c r="J1338" s="13"/>
      <x:c r="K1338" s="13"/>
      <x:c r="L1338" s="13"/>
      <x:c r="M1338" s="13"/>
      <x:c r="N1338" s="13"/>
      <x:c r="O1338" s="13"/>
      <x:c r="P1338" s="13"/>
    </x:row>
    <x:row r="1339">
      <x:c r="E1339" s="13"/>
      <x:c r="F1339" s="13"/>
      <x:c r="G1339" s="13"/>
      <x:c r="H1339" s="13"/>
      <x:c r="I1339" s="13"/>
      <x:c r="J1339" s="13"/>
      <x:c r="K1339" s="13"/>
      <x:c r="L1339" s="13"/>
      <x:c r="M1339" s="13"/>
      <x:c r="N1339" s="13"/>
      <x:c r="O1339" s="13"/>
      <x:c r="P1339" s="13"/>
    </x:row>
    <x:row r="1340">
      <x:c r="E1340" s="13"/>
      <x:c r="F1340" s="13"/>
      <x:c r="G1340" s="13"/>
      <x:c r="H1340" s="13"/>
      <x:c r="I1340" s="13"/>
      <x:c r="J1340" s="13"/>
      <x:c r="K1340" s="13"/>
      <x:c r="L1340" s="13"/>
      <x:c r="M1340" s="13"/>
      <x:c r="N1340" s="13"/>
      <x:c r="O1340" s="13"/>
      <x:c r="P1340" s="13"/>
    </x:row>
    <x:row r="1341">
      <x:c r="E1341" s="13"/>
      <x:c r="F1341" s="13"/>
      <x:c r="G1341" s="13"/>
      <x:c r="H1341" s="13"/>
      <x:c r="I1341" s="13"/>
      <x:c r="J1341" s="13"/>
      <x:c r="K1341" s="13"/>
      <x:c r="L1341" s="13"/>
      <x:c r="M1341" s="13"/>
      <x:c r="N1341" s="13"/>
      <x:c r="O1341" s="13"/>
      <x:c r="P1341" s="13"/>
    </x:row>
    <x:row r="1342">
      <x:c r="E1342" s="13"/>
      <x:c r="F1342" s="13"/>
      <x:c r="G1342" s="13"/>
      <x:c r="H1342" s="13"/>
      <x:c r="I1342" s="13"/>
      <x:c r="J1342" s="13"/>
      <x:c r="K1342" s="13"/>
      <x:c r="L1342" s="13"/>
      <x:c r="M1342" s="13"/>
      <x:c r="N1342" s="13"/>
      <x:c r="O1342" s="13"/>
      <x:c r="P1342" s="13"/>
    </x:row>
    <x:row r="1343">
      <x:c r="E1343" s="13"/>
      <x:c r="F1343" s="13"/>
      <x:c r="G1343" s="13"/>
      <x:c r="H1343" s="13"/>
      <x:c r="I1343" s="13"/>
      <x:c r="J1343" s="13"/>
      <x:c r="K1343" s="13"/>
      <x:c r="L1343" s="13"/>
      <x:c r="M1343" s="13"/>
      <x:c r="N1343" s="13"/>
      <x:c r="O1343" s="13"/>
      <x:c r="P1343" s="13"/>
    </x:row>
    <x:row r="1344">
      <x:c r="E1344" s="13"/>
      <x:c r="F1344" s="13"/>
      <x:c r="G1344" s="13"/>
      <x:c r="H1344" s="13"/>
      <x:c r="I1344" s="13"/>
      <x:c r="J1344" s="13"/>
      <x:c r="K1344" s="13"/>
      <x:c r="L1344" s="13"/>
      <x:c r="M1344" s="13"/>
      <x:c r="N1344" s="13"/>
      <x:c r="O1344" s="13"/>
      <x:c r="P1344" s="13"/>
    </x:row>
    <x:row r="1345">
      <x:c r="E1345" s="13"/>
      <x:c r="F1345" s="13"/>
      <x:c r="G1345" s="13"/>
      <x:c r="H1345" s="13"/>
      <x:c r="I1345" s="13"/>
      <x:c r="J1345" s="13"/>
      <x:c r="K1345" s="13"/>
      <x:c r="L1345" s="13"/>
      <x:c r="M1345" s="13"/>
      <x:c r="N1345" s="13"/>
      <x:c r="O1345" s="13"/>
      <x:c r="P1345" s="13"/>
    </x:row>
    <x:row r="1346">
      <x:c r="E1346" s="13"/>
      <x:c r="F1346" s="13"/>
      <x:c r="G1346" s="13"/>
      <x:c r="H1346" s="13"/>
      <x:c r="I1346" s="13"/>
      <x:c r="J1346" s="13"/>
      <x:c r="K1346" s="13"/>
      <x:c r="L1346" s="13"/>
      <x:c r="M1346" s="13"/>
      <x:c r="N1346" s="13"/>
      <x:c r="O1346" s="13"/>
      <x:c r="P1346" s="13"/>
    </x:row>
    <x:row r="1347">
      <x:c r="E1347" s="13"/>
      <x:c r="F1347" s="13"/>
      <x:c r="G1347" s="13"/>
      <x:c r="H1347" s="13"/>
      <x:c r="I1347" s="13"/>
      <x:c r="J1347" s="13"/>
      <x:c r="K1347" s="13"/>
      <x:c r="L1347" s="13"/>
      <x:c r="M1347" s="13"/>
      <x:c r="N1347" s="13"/>
      <x:c r="O1347" s="13"/>
      <x:c r="P1347" s="13"/>
    </x:row>
    <x:row r="1348">
      <x:c r="E1348" s="13"/>
      <x:c r="F1348" s="13"/>
      <x:c r="G1348" s="13"/>
      <x:c r="H1348" s="13"/>
      <x:c r="I1348" s="13"/>
      <x:c r="J1348" s="13"/>
      <x:c r="K1348" s="13"/>
      <x:c r="L1348" s="13"/>
      <x:c r="M1348" s="13"/>
      <x:c r="N1348" s="13"/>
      <x:c r="O1348" s="13"/>
      <x:c r="P1348" s="13"/>
    </x:row>
    <x:row r="1349">
      <x:c r="E1349" s="13"/>
      <x:c r="F1349" s="13"/>
      <x:c r="G1349" s="13"/>
      <x:c r="H1349" s="13"/>
      <x:c r="I1349" s="13"/>
      <x:c r="J1349" s="13"/>
      <x:c r="K1349" s="13"/>
      <x:c r="L1349" s="13"/>
      <x:c r="M1349" s="13"/>
      <x:c r="N1349" s="13"/>
      <x:c r="O1349" s="13"/>
      <x:c r="P1349" s="13"/>
    </x:row>
    <x:row r="1350">
      <x:c r="E1350" s="13"/>
      <x:c r="F1350" s="13"/>
      <x:c r="G1350" s="13"/>
      <x:c r="H1350" s="13"/>
      <x:c r="I1350" s="13"/>
      <x:c r="J1350" s="13"/>
      <x:c r="K1350" s="13"/>
      <x:c r="L1350" s="13"/>
      <x:c r="M1350" s="13"/>
      <x:c r="N1350" s="13"/>
      <x:c r="O1350" s="13"/>
      <x:c r="P1350" s="13"/>
    </x:row>
    <x:row r="1351">
      <x:c r="E1351" s="13"/>
      <x:c r="F1351" s="13"/>
      <x:c r="G1351" s="13"/>
      <x:c r="H1351" s="13"/>
      <x:c r="I1351" s="13"/>
      <x:c r="J1351" s="13"/>
      <x:c r="K1351" s="13"/>
      <x:c r="L1351" s="13"/>
      <x:c r="M1351" s="13"/>
      <x:c r="N1351" s="13"/>
      <x:c r="O1351" s="13"/>
      <x:c r="P1351" s="13"/>
    </x:row>
    <x:row r="1352">
      <x:c r="E1352" s="13"/>
      <x:c r="F1352" s="13"/>
      <x:c r="G1352" s="13"/>
      <x:c r="H1352" s="13"/>
      <x:c r="I1352" s="13"/>
      <x:c r="J1352" s="13"/>
      <x:c r="K1352" s="13"/>
      <x:c r="L1352" s="13"/>
      <x:c r="M1352" s="13"/>
      <x:c r="N1352" s="13"/>
      <x:c r="O1352" s="13"/>
      <x:c r="P1352" s="13"/>
    </x:row>
    <x:row r="1353">
      <x:c r="E1353" s="13"/>
      <x:c r="F1353" s="13"/>
      <x:c r="G1353" s="13"/>
      <x:c r="H1353" s="13"/>
      <x:c r="I1353" s="13"/>
      <x:c r="J1353" s="13"/>
      <x:c r="K1353" s="13"/>
      <x:c r="L1353" s="13"/>
      <x:c r="M1353" s="13"/>
      <x:c r="N1353" s="13"/>
      <x:c r="O1353" s="13"/>
      <x:c r="P1353" s="13"/>
    </x:row>
    <x:row r="1354">
      <x:c r="E1354" s="13"/>
      <x:c r="F1354" s="13"/>
      <x:c r="G1354" s="13"/>
      <x:c r="H1354" s="13"/>
      <x:c r="I1354" s="13"/>
      <x:c r="J1354" s="13"/>
      <x:c r="K1354" s="13"/>
      <x:c r="L1354" s="13"/>
      <x:c r="M1354" s="13"/>
      <x:c r="N1354" s="13"/>
      <x:c r="O1354" s="13"/>
      <x:c r="P1354" s="13"/>
    </x:row>
    <x:row r="1355">
      <x:c r="E1355" s="13"/>
      <x:c r="F1355" s="13"/>
      <x:c r="G1355" s="13"/>
      <x:c r="H1355" s="13"/>
      <x:c r="I1355" s="13"/>
      <x:c r="J1355" s="13"/>
      <x:c r="K1355" s="13"/>
      <x:c r="L1355" s="13"/>
      <x:c r="M1355" s="13"/>
      <x:c r="N1355" s="13"/>
      <x:c r="O1355" s="13"/>
      <x:c r="P1355" s="13"/>
    </x:row>
    <x:row r="1356">
      <x:c r="E1356" s="13"/>
      <x:c r="F1356" s="13"/>
      <x:c r="G1356" s="13"/>
      <x:c r="H1356" s="13"/>
      <x:c r="I1356" s="13"/>
      <x:c r="J1356" s="13"/>
      <x:c r="K1356" s="13"/>
      <x:c r="L1356" s="13"/>
      <x:c r="M1356" s="13"/>
      <x:c r="N1356" s="13"/>
      <x:c r="O1356" s="13"/>
      <x:c r="P1356" s="13"/>
    </x:row>
    <x:row r="1357">
      <x:c r="E1357" s="13"/>
      <x:c r="F1357" s="13"/>
      <x:c r="G1357" s="13"/>
      <x:c r="H1357" s="13"/>
      <x:c r="I1357" s="13"/>
      <x:c r="J1357" s="13"/>
      <x:c r="K1357" s="13"/>
      <x:c r="L1357" s="13"/>
      <x:c r="M1357" s="13"/>
      <x:c r="N1357" s="13"/>
      <x:c r="O1357" s="13"/>
      <x:c r="P1357" s="13"/>
    </x:row>
    <x:row r="1358">
      <x:c r="E1358" s="13"/>
      <x:c r="F1358" s="13"/>
      <x:c r="G1358" s="13"/>
      <x:c r="H1358" s="13"/>
      <x:c r="I1358" s="13"/>
      <x:c r="J1358" s="13"/>
      <x:c r="K1358" s="13"/>
      <x:c r="L1358" s="13"/>
      <x:c r="M1358" s="13"/>
      <x:c r="N1358" s="13"/>
      <x:c r="O1358" s="13"/>
      <x:c r="P1358" s="13"/>
    </x:row>
    <x:row r="1359">
      <x:c r="E1359" s="13"/>
      <x:c r="F1359" s="13"/>
      <x:c r="G1359" s="13"/>
      <x:c r="H1359" s="13"/>
      <x:c r="I1359" s="13"/>
      <x:c r="J1359" s="13"/>
      <x:c r="K1359" s="13"/>
      <x:c r="L1359" s="13"/>
      <x:c r="M1359" s="13"/>
      <x:c r="N1359" s="13"/>
      <x:c r="O1359" s="13"/>
      <x:c r="P1359" s="13"/>
    </x:row>
    <x:row r="1360">
      <x:c r="E1360" s="13"/>
      <x:c r="F1360" s="13"/>
      <x:c r="G1360" s="13"/>
      <x:c r="H1360" s="13"/>
      <x:c r="I1360" s="13"/>
      <x:c r="J1360" s="13"/>
      <x:c r="K1360" s="13"/>
      <x:c r="L1360" s="13"/>
      <x:c r="M1360" s="13"/>
      <x:c r="N1360" s="13"/>
      <x:c r="O1360" s="13"/>
      <x:c r="P1360" s="13"/>
    </x:row>
    <x:row r="1361">
      <x:c r="E1361" s="13"/>
      <x:c r="F1361" s="13"/>
      <x:c r="G1361" s="13"/>
      <x:c r="H1361" s="13"/>
      <x:c r="I1361" s="13"/>
      <x:c r="J1361" s="13"/>
      <x:c r="K1361" s="13"/>
      <x:c r="L1361" s="13"/>
      <x:c r="M1361" s="13"/>
      <x:c r="N1361" s="13"/>
      <x:c r="O1361" s="13"/>
      <x:c r="P1361" s="13"/>
    </x:row>
    <x:row r="1362">
      <x:c r="E1362" s="13"/>
      <x:c r="F1362" s="13"/>
      <x:c r="G1362" s="13"/>
      <x:c r="H1362" s="13"/>
      <x:c r="I1362" s="13"/>
      <x:c r="J1362" s="13"/>
      <x:c r="K1362" s="13"/>
      <x:c r="L1362" s="13"/>
      <x:c r="M1362" s="13"/>
      <x:c r="N1362" s="13"/>
      <x:c r="O1362" s="13"/>
      <x:c r="P1362" s="13"/>
    </x:row>
    <x:row r="1363">
      <x:c r="E1363" s="13"/>
      <x:c r="F1363" s="13"/>
      <x:c r="G1363" s="13"/>
      <x:c r="H1363" s="13"/>
      <x:c r="I1363" s="13"/>
      <x:c r="J1363" s="13"/>
      <x:c r="K1363" s="13"/>
      <x:c r="L1363" s="13"/>
      <x:c r="M1363" s="13"/>
      <x:c r="N1363" s="13"/>
      <x:c r="O1363" s="13"/>
      <x:c r="P1363" s="13"/>
    </x:row>
    <x:row r="1364">
      <x:c r="E1364" s="13"/>
      <x:c r="F1364" s="13"/>
      <x:c r="G1364" s="13"/>
      <x:c r="H1364" s="13"/>
      <x:c r="I1364" s="13"/>
      <x:c r="J1364" s="13"/>
      <x:c r="K1364" s="13"/>
      <x:c r="L1364" s="13"/>
      <x:c r="M1364" s="13"/>
      <x:c r="N1364" s="13"/>
      <x:c r="O1364" s="13"/>
      <x:c r="P1364" s="13"/>
    </x:row>
    <x:row r="1365">
      <x:c r="E1365" s="13"/>
      <x:c r="F1365" s="13"/>
      <x:c r="G1365" s="13"/>
      <x:c r="H1365" s="13"/>
      <x:c r="I1365" s="13"/>
      <x:c r="J1365" s="13"/>
      <x:c r="K1365" s="13"/>
      <x:c r="L1365" s="13"/>
      <x:c r="M1365" s="13"/>
      <x:c r="N1365" s="13"/>
      <x:c r="O1365" s="13"/>
      <x:c r="P1365" s="13"/>
    </x:row>
    <x:row r="1366">
      <x:c r="E1366" s="13"/>
      <x:c r="F1366" s="13"/>
      <x:c r="G1366" s="13"/>
      <x:c r="H1366" s="13"/>
      <x:c r="I1366" s="13"/>
      <x:c r="J1366" s="13"/>
      <x:c r="K1366" s="13"/>
      <x:c r="L1366" s="13"/>
      <x:c r="M1366" s="13"/>
      <x:c r="N1366" s="13"/>
      <x:c r="O1366" s="13"/>
      <x:c r="P1366" s="13"/>
    </x:row>
    <x:row r="1367">
      <x:c r="E1367" s="13"/>
      <x:c r="F1367" s="13"/>
      <x:c r="G1367" s="13"/>
      <x:c r="H1367" s="13"/>
      <x:c r="I1367" s="13"/>
      <x:c r="J1367" s="13"/>
      <x:c r="K1367" s="13"/>
      <x:c r="L1367" s="13"/>
      <x:c r="M1367" s="13"/>
      <x:c r="N1367" s="13"/>
      <x:c r="O1367" s="13"/>
      <x:c r="P1367" s="13"/>
    </x:row>
    <x:row r="1368">
      <x:c r="E1368" s="13"/>
      <x:c r="F1368" s="13"/>
      <x:c r="G1368" s="13"/>
      <x:c r="H1368" s="13"/>
      <x:c r="I1368" s="13"/>
      <x:c r="J1368" s="13"/>
      <x:c r="K1368" s="13"/>
      <x:c r="L1368" s="13"/>
      <x:c r="M1368" s="13"/>
      <x:c r="N1368" s="13"/>
      <x:c r="O1368" s="13"/>
      <x:c r="P1368" s="13"/>
    </x:row>
    <x:row r="1369">
      <x:c r="E1369" s="13"/>
      <x:c r="F1369" s="13"/>
      <x:c r="G1369" s="13"/>
      <x:c r="H1369" s="13"/>
      <x:c r="I1369" s="13"/>
      <x:c r="J1369" s="13"/>
      <x:c r="K1369" s="13"/>
      <x:c r="L1369" s="13"/>
      <x:c r="M1369" s="13"/>
      <x:c r="N1369" s="13"/>
      <x:c r="O1369" s="13"/>
      <x:c r="P1369" s="13"/>
    </x:row>
    <x:row r="1370">
      <x:c r="E1370" s="13"/>
      <x:c r="F1370" s="13"/>
      <x:c r="G1370" s="13"/>
      <x:c r="H1370" s="13"/>
      <x:c r="I1370" s="13"/>
      <x:c r="J1370" s="13"/>
      <x:c r="K1370" s="13"/>
      <x:c r="L1370" s="13"/>
      <x:c r="M1370" s="13"/>
      <x:c r="N1370" s="13"/>
      <x:c r="O1370" s="13"/>
      <x:c r="P1370" s="13"/>
    </x:row>
    <x:row r="1371">
      <x:c r="E1371" s="13"/>
      <x:c r="F1371" s="13"/>
      <x:c r="G1371" s="13"/>
      <x:c r="H1371" s="13"/>
      <x:c r="I1371" s="13"/>
      <x:c r="J1371" s="13"/>
      <x:c r="K1371" s="13"/>
      <x:c r="L1371" s="13"/>
      <x:c r="M1371" s="13"/>
      <x:c r="N1371" s="13"/>
      <x:c r="O1371" s="13"/>
      <x:c r="P1371" s="13"/>
    </x:row>
    <x:row r="1372">
      <x:c r="E1372" s="13"/>
      <x:c r="F1372" s="13"/>
      <x:c r="G1372" s="13"/>
      <x:c r="H1372" s="13"/>
      <x:c r="I1372" s="13"/>
      <x:c r="J1372" s="13"/>
      <x:c r="K1372" s="13"/>
      <x:c r="L1372" s="13"/>
      <x:c r="M1372" s="13"/>
      <x:c r="N1372" s="13"/>
      <x:c r="O1372" s="13"/>
      <x:c r="P1372" s="13"/>
    </x:row>
    <x:row r="1373">
      <x:c r="E1373" s="13"/>
      <x:c r="F1373" s="13"/>
      <x:c r="G1373" s="13"/>
      <x:c r="H1373" s="13"/>
      <x:c r="I1373" s="13"/>
      <x:c r="J1373" s="13"/>
      <x:c r="K1373" s="13"/>
      <x:c r="L1373" s="13"/>
      <x:c r="M1373" s="13"/>
      <x:c r="N1373" s="13"/>
      <x:c r="O1373" s="13"/>
      <x:c r="P1373" s="13"/>
    </x:row>
    <x:row r="1374">
      <x:c r="E1374" s="13"/>
      <x:c r="F1374" s="13"/>
      <x:c r="G1374" s="13"/>
      <x:c r="H1374" s="13"/>
      <x:c r="I1374" s="13"/>
      <x:c r="J1374" s="13"/>
      <x:c r="K1374" s="13"/>
      <x:c r="L1374" s="13"/>
      <x:c r="M1374" s="13"/>
      <x:c r="N1374" s="13"/>
      <x:c r="O1374" s="13"/>
      <x:c r="P1374" s="13"/>
    </x:row>
    <x:row r="1375">
      <x:c r="E1375" s="13"/>
      <x:c r="F1375" s="13"/>
      <x:c r="G1375" s="13"/>
      <x:c r="H1375" s="13"/>
      <x:c r="I1375" s="13"/>
      <x:c r="J1375" s="13"/>
      <x:c r="K1375" s="13"/>
      <x:c r="L1375" s="13"/>
      <x:c r="M1375" s="13"/>
      <x:c r="N1375" s="13"/>
      <x:c r="O1375" s="13"/>
      <x:c r="P1375" s="13"/>
    </x:row>
    <x:row r="1376">
      <x:c r="E1376" s="13"/>
      <x:c r="F1376" s="13"/>
      <x:c r="G1376" s="13"/>
      <x:c r="H1376" s="13"/>
      <x:c r="I1376" s="13"/>
      <x:c r="J1376" s="13"/>
      <x:c r="K1376" s="13"/>
      <x:c r="L1376" s="13"/>
      <x:c r="M1376" s="13"/>
      <x:c r="N1376" s="13"/>
      <x:c r="O1376" s="13"/>
      <x:c r="P1376" s="13"/>
    </x:row>
    <x:row r="1377">
      <x:c r="E1377" s="13"/>
      <x:c r="F1377" s="13"/>
      <x:c r="G1377" s="13"/>
      <x:c r="H1377" s="13"/>
      <x:c r="I1377" s="13"/>
      <x:c r="J1377" s="13"/>
      <x:c r="K1377" s="13"/>
      <x:c r="L1377" s="13"/>
      <x:c r="M1377" s="13"/>
      <x:c r="N1377" s="13"/>
      <x:c r="O1377" s="13"/>
      <x:c r="P1377" s="13"/>
    </x:row>
    <x:row r="1378">
      <x:c r="E1378" s="13"/>
      <x:c r="F1378" s="13"/>
      <x:c r="G1378" s="13"/>
      <x:c r="H1378" s="13"/>
      <x:c r="I1378" s="13"/>
      <x:c r="J1378" s="13"/>
      <x:c r="K1378" s="13"/>
      <x:c r="L1378" s="13"/>
      <x:c r="M1378" s="13"/>
      <x:c r="N1378" s="13"/>
      <x:c r="O1378" s="13"/>
      <x:c r="P1378" s="13"/>
    </x:row>
    <x:row r="1379">
      <x:c r="E1379" s="13"/>
      <x:c r="F1379" s="13"/>
      <x:c r="G1379" s="13"/>
      <x:c r="H1379" s="13"/>
      <x:c r="I1379" s="13"/>
      <x:c r="J1379" s="13"/>
      <x:c r="K1379" s="13"/>
      <x:c r="L1379" s="13"/>
      <x:c r="M1379" s="13"/>
      <x:c r="N1379" s="13"/>
      <x:c r="O1379" s="13"/>
      <x:c r="P1379" s="13"/>
    </x:row>
    <x:row r="1380">
      <x:c r="E1380" s="13"/>
      <x:c r="F1380" s="13"/>
      <x:c r="G1380" s="13"/>
      <x:c r="H1380" s="13"/>
      <x:c r="I1380" s="13"/>
      <x:c r="J1380" s="13"/>
      <x:c r="K1380" s="13"/>
      <x:c r="L1380" s="13"/>
      <x:c r="M1380" s="13"/>
      <x:c r="N1380" s="13"/>
      <x:c r="O1380" s="13"/>
      <x:c r="P1380" s="13"/>
    </x:row>
    <x:row r="1381">
      <x:c r="E1381" s="13"/>
      <x:c r="F1381" s="13"/>
      <x:c r="G1381" s="13"/>
      <x:c r="H1381" s="13"/>
      <x:c r="I1381" s="13"/>
      <x:c r="J1381" s="13"/>
      <x:c r="K1381" s="13"/>
      <x:c r="L1381" s="13"/>
      <x:c r="M1381" s="13"/>
      <x:c r="N1381" s="13"/>
      <x:c r="O1381" s="13"/>
      <x:c r="P1381" s="13"/>
    </x:row>
    <x:row r="1382">
      <x:c r="E1382" s="13"/>
      <x:c r="F1382" s="13"/>
      <x:c r="G1382" s="13"/>
      <x:c r="H1382" s="13"/>
      <x:c r="I1382" s="13"/>
      <x:c r="J1382" s="13"/>
      <x:c r="K1382" s="13"/>
      <x:c r="L1382" s="13"/>
      <x:c r="M1382" s="13"/>
      <x:c r="N1382" s="13"/>
      <x:c r="O1382" s="13"/>
      <x:c r="P1382" s="13"/>
    </x:row>
    <x:row r="1383">
      <x:c r="E1383" s="13"/>
      <x:c r="F1383" s="13"/>
      <x:c r="G1383" s="13"/>
      <x:c r="H1383" s="13"/>
      <x:c r="I1383" s="13"/>
      <x:c r="J1383" s="13"/>
      <x:c r="K1383" s="13"/>
      <x:c r="L1383" s="13"/>
      <x:c r="M1383" s="13"/>
      <x:c r="N1383" s="13"/>
      <x:c r="O1383" s="13"/>
      <x:c r="P1383" s="13"/>
    </x:row>
    <x:row r="1384">
      <x:c r="E1384" s="13"/>
      <x:c r="F1384" s="13"/>
      <x:c r="G1384" s="13"/>
      <x:c r="H1384" s="13"/>
      <x:c r="I1384" s="13"/>
      <x:c r="J1384" s="13"/>
      <x:c r="K1384" s="13"/>
      <x:c r="L1384" s="13"/>
      <x:c r="M1384" s="13"/>
      <x:c r="N1384" s="13"/>
      <x:c r="O1384" s="13"/>
      <x:c r="P1384" s="13"/>
    </x:row>
    <x:row r="1385">
      <x:c r="E1385" s="13"/>
      <x:c r="F1385" s="13"/>
      <x:c r="G1385" s="13"/>
      <x:c r="H1385" s="13"/>
      <x:c r="I1385" s="13"/>
      <x:c r="J1385" s="13"/>
      <x:c r="K1385" s="13"/>
      <x:c r="L1385" s="13"/>
      <x:c r="M1385" s="13"/>
      <x:c r="N1385" s="13"/>
      <x:c r="O1385" s="13"/>
      <x:c r="P1385" s="13"/>
    </x:row>
    <x:row r="1386">
      <x:c r="E1386" s="13"/>
      <x:c r="F1386" s="13"/>
      <x:c r="G1386" s="13"/>
      <x:c r="H1386" s="13"/>
      <x:c r="I1386" s="13"/>
      <x:c r="J1386" s="13"/>
      <x:c r="K1386" s="13"/>
      <x:c r="L1386" s="13"/>
      <x:c r="M1386" s="13"/>
      <x:c r="N1386" s="13"/>
      <x:c r="O1386" s="13"/>
      <x:c r="P1386" s="13"/>
    </x:row>
    <x:row r="1387">
      <x:c r="E1387" s="13"/>
      <x:c r="F1387" s="13"/>
      <x:c r="G1387" s="13"/>
      <x:c r="H1387" s="13"/>
      <x:c r="I1387" s="13"/>
      <x:c r="J1387" s="13"/>
      <x:c r="K1387" s="13"/>
      <x:c r="L1387" s="13"/>
      <x:c r="M1387" s="13"/>
      <x:c r="N1387" s="13"/>
      <x:c r="O1387" s="13"/>
      <x:c r="P1387" s="13"/>
    </x:row>
    <x:row r="1388">
      <x:c r="E1388" s="13"/>
      <x:c r="F1388" s="13"/>
      <x:c r="G1388" s="13"/>
      <x:c r="H1388" s="13"/>
      <x:c r="I1388" s="13"/>
      <x:c r="J1388" s="13"/>
      <x:c r="K1388" s="13"/>
      <x:c r="L1388" s="13"/>
      <x:c r="M1388" s="13"/>
      <x:c r="N1388" s="13"/>
      <x:c r="O1388" s="13"/>
      <x:c r="P1388" s="13"/>
    </x:row>
    <x:row r="1389">
      <x:c r="E1389" s="13"/>
      <x:c r="F1389" s="13"/>
      <x:c r="G1389" s="13"/>
      <x:c r="H1389" s="13"/>
      <x:c r="I1389" s="13"/>
      <x:c r="J1389" s="13"/>
      <x:c r="K1389" s="13"/>
      <x:c r="L1389" s="13"/>
      <x:c r="M1389" s="13"/>
      <x:c r="N1389" s="13"/>
      <x:c r="O1389" s="13"/>
      <x:c r="P1389" s="13"/>
    </x:row>
    <x:row r="1390">
      <x:c r="E1390" s="13"/>
      <x:c r="F1390" s="13"/>
      <x:c r="G1390" s="13"/>
      <x:c r="H1390" s="13"/>
      <x:c r="I1390" s="13"/>
      <x:c r="J1390" s="13"/>
      <x:c r="K1390" s="13"/>
      <x:c r="L1390" s="13"/>
      <x:c r="M1390" s="13"/>
      <x:c r="N1390" s="13"/>
      <x:c r="O1390" s="13"/>
      <x:c r="P1390" s="13"/>
    </x:row>
    <x:row r="1391">
      <x:c r="E1391" s="13"/>
      <x:c r="F1391" s="13"/>
      <x:c r="G1391" s="13"/>
      <x:c r="H1391" s="13"/>
      <x:c r="I1391" s="13"/>
      <x:c r="J1391" s="13"/>
      <x:c r="K1391" s="13"/>
      <x:c r="L1391" s="13"/>
      <x:c r="M1391" s="13"/>
      <x:c r="N1391" s="13"/>
      <x:c r="O1391" s="13"/>
      <x:c r="P1391" s="13"/>
    </x:row>
    <x:row r="1392">
      <x:c r="E1392" s="13"/>
      <x:c r="F1392" s="13"/>
      <x:c r="G1392" s="13"/>
      <x:c r="H1392" s="13"/>
      <x:c r="I1392" s="13"/>
      <x:c r="J1392" s="13"/>
      <x:c r="K1392" s="13"/>
      <x:c r="L1392" s="13"/>
      <x:c r="M1392" s="13"/>
      <x:c r="N1392" s="13"/>
      <x:c r="O1392" s="13"/>
      <x:c r="P1392" s="13"/>
    </x:row>
    <x:row r="1393">
      <x:c r="E1393" s="13"/>
      <x:c r="F1393" s="13"/>
      <x:c r="G1393" s="13"/>
      <x:c r="H1393" s="13"/>
      <x:c r="I1393" s="13"/>
      <x:c r="J1393" s="13"/>
      <x:c r="K1393" s="13"/>
      <x:c r="L1393" s="13"/>
      <x:c r="M1393" s="13"/>
      <x:c r="N1393" s="13"/>
      <x:c r="O1393" s="13"/>
      <x:c r="P1393" s="13"/>
    </x:row>
    <x:row r="1394">
      <x:c r="E1394" s="13"/>
      <x:c r="F1394" s="13"/>
      <x:c r="G1394" s="13"/>
      <x:c r="H1394" s="13"/>
      <x:c r="I1394" s="13"/>
      <x:c r="J1394" s="13"/>
      <x:c r="K1394" s="13"/>
      <x:c r="L1394" s="13"/>
      <x:c r="M1394" s="13"/>
      <x:c r="N1394" s="13"/>
      <x:c r="O1394" s="13"/>
      <x:c r="P1394" s="13"/>
    </x:row>
    <x:row r="1395">
      <x:c r="E1395" s="13"/>
      <x:c r="F1395" s="13"/>
      <x:c r="G1395" s="13"/>
      <x:c r="H1395" s="13"/>
      <x:c r="I1395" s="13"/>
      <x:c r="J1395" s="13"/>
      <x:c r="K1395" s="13"/>
      <x:c r="L1395" s="13"/>
      <x:c r="M1395" s="13"/>
      <x:c r="N1395" s="13"/>
      <x:c r="O1395" s="13"/>
      <x:c r="P1395" s="13"/>
    </x:row>
    <x:row r="1396">
      <x:c r="E1396" s="13"/>
      <x:c r="F1396" s="13"/>
      <x:c r="G1396" s="13"/>
      <x:c r="H1396" s="13"/>
      <x:c r="I1396" s="13"/>
      <x:c r="J1396" s="13"/>
      <x:c r="K1396" s="13"/>
      <x:c r="L1396" s="13"/>
      <x:c r="M1396" s="13"/>
      <x:c r="N1396" s="13"/>
      <x:c r="O1396" s="13"/>
      <x:c r="P1396" s="13"/>
    </x:row>
    <x:row r="1397">
      <x:c r="E1397" s="13"/>
      <x:c r="F1397" s="13"/>
      <x:c r="G1397" s="13"/>
      <x:c r="H1397" s="13"/>
      <x:c r="I1397" s="13"/>
      <x:c r="J1397" s="13"/>
      <x:c r="K1397" s="13"/>
      <x:c r="L1397" s="13"/>
      <x:c r="M1397" s="13"/>
      <x:c r="N1397" s="13"/>
      <x:c r="O1397" s="13"/>
      <x:c r="P1397" s="13"/>
    </x:row>
    <x:row r="1398">
      <x:c r="E1398" s="13"/>
      <x:c r="F1398" s="13"/>
      <x:c r="G1398" s="13"/>
      <x:c r="H1398" s="13"/>
      <x:c r="I1398" s="13"/>
      <x:c r="J1398" s="13"/>
      <x:c r="K1398" s="13"/>
      <x:c r="L1398" s="13"/>
      <x:c r="M1398" s="13"/>
      <x:c r="N1398" s="13"/>
      <x:c r="O1398" s="13"/>
      <x:c r="P1398" s="13"/>
    </x:row>
    <x:row r="1399">
      <x:c r="E1399" s="13"/>
      <x:c r="F1399" s="13"/>
      <x:c r="G1399" s="13"/>
      <x:c r="H1399" s="13"/>
      <x:c r="I1399" s="13"/>
      <x:c r="J1399" s="13"/>
      <x:c r="K1399" s="13"/>
      <x:c r="L1399" s="13"/>
      <x:c r="M1399" s="13"/>
      <x:c r="N1399" s="13"/>
      <x:c r="O1399" s="13"/>
      <x:c r="P1399" s="13"/>
    </x:row>
    <x:row r="1400">
      <x:c r="E1400" s="13"/>
      <x:c r="F1400" s="13"/>
      <x:c r="G1400" s="13"/>
      <x:c r="H1400" s="13"/>
      <x:c r="I1400" s="13"/>
      <x:c r="J1400" s="13"/>
      <x:c r="K1400" s="13"/>
      <x:c r="L1400" s="13"/>
      <x:c r="M1400" s="13"/>
      <x:c r="N1400" s="13"/>
      <x:c r="O1400" s="13"/>
      <x:c r="P1400" s="13"/>
    </x:row>
    <x:row r="1401">
      <x:c r="E1401" s="13"/>
      <x:c r="F1401" s="13"/>
      <x:c r="G1401" s="13"/>
      <x:c r="H1401" s="13"/>
      <x:c r="I1401" s="13"/>
      <x:c r="J1401" s="13"/>
      <x:c r="K1401" s="13"/>
      <x:c r="L1401" s="13"/>
      <x:c r="M1401" s="13"/>
      <x:c r="N1401" s="13"/>
      <x:c r="O1401" s="13"/>
      <x:c r="P1401" s="13"/>
    </x:row>
    <x:row r="1402">
      <x:c r="E1402" s="13"/>
      <x:c r="F1402" s="13"/>
      <x:c r="G1402" s="13"/>
      <x:c r="H1402" s="13"/>
      <x:c r="I1402" s="13"/>
      <x:c r="J1402" s="13"/>
      <x:c r="K1402" s="13"/>
      <x:c r="L1402" s="13"/>
      <x:c r="M1402" s="13"/>
      <x:c r="N1402" s="13"/>
      <x:c r="O1402" s="13"/>
      <x:c r="P1402" s="13"/>
    </x:row>
    <x:row r="1403">
      <x:c r="E1403" s="13"/>
      <x:c r="F1403" s="13"/>
      <x:c r="G1403" s="13"/>
      <x:c r="H1403" s="13"/>
      <x:c r="I1403" s="13"/>
      <x:c r="J1403" s="13"/>
      <x:c r="K1403" s="13"/>
      <x:c r="L1403" s="13"/>
      <x:c r="M1403" s="13"/>
      <x:c r="N1403" s="13"/>
      <x:c r="O1403" s="13"/>
      <x:c r="P1403" s="13"/>
    </x:row>
    <x:row r="1404">
      <x:c r="E1404" s="13"/>
      <x:c r="F1404" s="13"/>
      <x:c r="G1404" s="13"/>
      <x:c r="H1404" s="13"/>
      <x:c r="I1404" s="13"/>
      <x:c r="J1404" s="13"/>
      <x:c r="K1404" s="13"/>
      <x:c r="L1404" s="13"/>
      <x:c r="M1404" s="13"/>
      <x:c r="N1404" s="13"/>
      <x:c r="O1404" s="13"/>
      <x:c r="P1404" s="13"/>
    </x:row>
    <x:row r="1405">
      <x:c r="E1405" s="13"/>
      <x:c r="F1405" s="13"/>
      <x:c r="G1405" s="13"/>
      <x:c r="H1405" s="13"/>
      <x:c r="I1405" s="13"/>
      <x:c r="J1405" s="13"/>
      <x:c r="K1405" s="13"/>
      <x:c r="L1405" s="13"/>
      <x:c r="M1405" s="13"/>
      <x:c r="N1405" s="13"/>
      <x:c r="O1405" s="13"/>
      <x:c r="P1405" s="13"/>
    </x:row>
    <x:row r="1406">
      <x:c r="E1406" s="13"/>
      <x:c r="F1406" s="13"/>
      <x:c r="G1406" s="13"/>
      <x:c r="H1406" s="13"/>
      <x:c r="I1406" s="13"/>
      <x:c r="J1406" s="13"/>
      <x:c r="K1406" s="13"/>
      <x:c r="L1406" s="13"/>
      <x:c r="M1406" s="13"/>
      <x:c r="N1406" s="13"/>
      <x:c r="O1406" s="13"/>
      <x:c r="P1406" s="13"/>
    </x:row>
    <x:row r="1407">
      <x:c r="E1407" s="13"/>
      <x:c r="F1407" s="13"/>
      <x:c r="G1407" s="13"/>
      <x:c r="H1407" s="13"/>
      <x:c r="I1407" s="13"/>
      <x:c r="J1407" s="13"/>
      <x:c r="K1407" s="13"/>
      <x:c r="L1407" s="13"/>
      <x:c r="M1407" s="13"/>
      <x:c r="N1407" s="13"/>
      <x:c r="O1407" s="13"/>
      <x:c r="P1407" s="13"/>
    </x:row>
    <x:row r="1408">
      <x:c r="E1408" s="13"/>
      <x:c r="F1408" s="13"/>
      <x:c r="G1408" s="13"/>
      <x:c r="H1408" s="13"/>
      <x:c r="I1408" s="13"/>
      <x:c r="J1408" s="13"/>
      <x:c r="K1408" s="13"/>
      <x:c r="L1408" s="13"/>
      <x:c r="M1408" s="13"/>
      <x:c r="N1408" s="13"/>
      <x:c r="O1408" s="13"/>
      <x:c r="P1408" s="13"/>
    </x:row>
    <x:row r="1409">
      <x:c r="E1409" s="13"/>
      <x:c r="F1409" s="13"/>
      <x:c r="G1409" s="13"/>
      <x:c r="H1409" s="13"/>
      <x:c r="I1409" s="13"/>
      <x:c r="J1409" s="13"/>
      <x:c r="K1409" s="13"/>
      <x:c r="L1409" s="13"/>
      <x:c r="M1409" s="13"/>
      <x:c r="N1409" s="13"/>
      <x:c r="O1409" s="13"/>
      <x:c r="P1409" s="13"/>
    </x:row>
    <x:row r="1410">
      <x:c r="E1410" s="13"/>
      <x:c r="F1410" s="13"/>
      <x:c r="G1410" s="13"/>
      <x:c r="H1410" s="13"/>
      <x:c r="I1410" s="13"/>
      <x:c r="J1410" s="13"/>
      <x:c r="K1410" s="13"/>
      <x:c r="L1410" s="13"/>
      <x:c r="M1410" s="13"/>
      <x:c r="N1410" s="13"/>
      <x:c r="O1410" s="13"/>
      <x:c r="P1410" s="13"/>
    </x:row>
    <x:row r="1411">
      <x:c r="E1411" s="13"/>
      <x:c r="F1411" s="13"/>
      <x:c r="G1411" s="13"/>
      <x:c r="H1411" s="13"/>
      <x:c r="I1411" s="13"/>
      <x:c r="J1411" s="13"/>
      <x:c r="K1411" s="13"/>
      <x:c r="L1411" s="13"/>
      <x:c r="M1411" s="13"/>
      <x:c r="N1411" s="13"/>
      <x:c r="O1411" s="13"/>
      <x:c r="P1411" s="13"/>
    </x:row>
    <x:row r="1412">
      <x:c r="E1412" s="13"/>
      <x:c r="F1412" s="13"/>
      <x:c r="G1412" s="13"/>
      <x:c r="H1412" s="13"/>
      <x:c r="I1412" s="13"/>
      <x:c r="J1412" s="13"/>
      <x:c r="K1412" s="13"/>
      <x:c r="L1412" s="13"/>
      <x:c r="M1412" s="13"/>
      <x:c r="N1412" s="13"/>
      <x:c r="O1412" s="13"/>
      <x:c r="P1412" s="13"/>
    </x:row>
    <x:row r="1413">
      <x:c r="E1413" s="13"/>
      <x:c r="F1413" s="13"/>
      <x:c r="G1413" s="13"/>
      <x:c r="H1413" s="13"/>
      <x:c r="I1413" s="13"/>
      <x:c r="J1413" s="13"/>
      <x:c r="K1413" s="13"/>
      <x:c r="L1413" s="13"/>
      <x:c r="M1413" s="13"/>
      <x:c r="N1413" s="13"/>
      <x:c r="O1413" s="13"/>
      <x:c r="P1413" s="13"/>
    </x:row>
    <x:row r="1414">
      <x:c r="E1414" s="13"/>
      <x:c r="F1414" s="13"/>
      <x:c r="G1414" s="13"/>
      <x:c r="H1414" s="13"/>
      <x:c r="I1414" s="13"/>
      <x:c r="J1414" s="13"/>
      <x:c r="K1414" s="13"/>
      <x:c r="L1414" s="13"/>
      <x:c r="M1414" s="13"/>
      <x:c r="N1414" s="13"/>
      <x:c r="O1414" s="13"/>
      <x:c r="P1414" s="13"/>
    </x:row>
    <x:row r="1415">
      <x:c r="E1415" s="13"/>
      <x:c r="F1415" s="13"/>
      <x:c r="G1415" s="13"/>
      <x:c r="H1415" s="13"/>
      <x:c r="I1415" s="13"/>
      <x:c r="J1415" s="13"/>
      <x:c r="K1415" s="13"/>
      <x:c r="L1415" s="13"/>
      <x:c r="M1415" s="13"/>
      <x:c r="N1415" s="13"/>
      <x:c r="O1415" s="13"/>
      <x:c r="P1415" s="13"/>
    </x:row>
    <x:row r="1416">
      <x:c r="E1416" s="13"/>
      <x:c r="F1416" s="13"/>
      <x:c r="G1416" s="13"/>
      <x:c r="H1416" s="13"/>
      <x:c r="I1416" s="13"/>
      <x:c r="J1416" s="13"/>
      <x:c r="K1416" s="13"/>
      <x:c r="L1416" s="13"/>
      <x:c r="M1416" s="13"/>
      <x:c r="N1416" s="13"/>
      <x:c r="O1416" s="13"/>
      <x:c r="P1416" s="13"/>
    </x:row>
    <x:row r="1417">
      <x:c r="E1417" s="13"/>
      <x:c r="F1417" s="13"/>
      <x:c r="G1417" s="13"/>
      <x:c r="H1417" s="13"/>
      <x:c r="I1417" s="13"/>
      <x:c r="J1417" s="13"/>
      <x:c r="K1417" s="13"/>
      <x:c r="L1417" s="13"/>
      <x:c r="M1417" s="13"/>
      <x:c r="N1417" s="13"/>
      <x:c r="O1417" s="13"/>
      <x:c r="P1417" s="13"/>
    </x:row>
    <x:row r="1418">
      <x:c r="E1418" s="13"/>
      <x:c r="F1418" s="13"/>
      <x:c r="G1418" s="13"/>
      <x:c r="H1418" s="13"/>
      <x:c r="I1418" s="13"/>
      <x:c r="J1418" s="13"/>
      <x:c r="K1418" s="13"/>
      <x:c r="L1418" s="13"/>
      <x:c r="M1418" s="13"/>
      <x:c r="N1418" s="13"/>
      <x:c r="O1418" s="13"/>
      <x:c r="P1418" s="13"/>
    </x:row>
    <x:row r="1419">
      <x:c r="E1419" s="13"/>
      <x:c r="F1419" s="13"/>
      <x:c r="G1419" s="13"/>
      <x:c r="H1419" s="13"/>
      <x:c r="I1419" s="13"/>
      <x:c r="J1419" s="13"/>
      <x:c r="K1419" s="13"/>
      <x:c r="L1419" s="13"/>
      <x:c r="M1419" s="13"/>
      <x:c r="N1419" s="13"/>
      <x:c r="O1419" s="13"/>
      <x:c r="P1419" s="13"/>
    </x:row>
    <x:row r="1420">
      <x:c r="E1420" s="13"/>
      <x:c r="F1420" s="13"/>
      <x:c r="G1420" s="13"/>
      <x:c r="H1420" s="13"/>
      <x:c r="I1420" s="13"/>
      <x:c r="J1420" s="13"/>
      <x:c r="K1420" s="13"/>
      <x:c r="L1420" s="13"/>
      <x:c r="M1420" s="13"/>
      <x:c r="N1420" s="13"/>
      <x:c r="O1420" s="13"/>
      <x:c r="P1420" s="13"/>
    </x:row>
    <x:row r="1421">
      <x:c r="E1421" s="13"/>
      <x:c r="F1421" s="13"/>
      <x:c r="G1421" s="13"/>
      <x:c r="H1421" s="13"/>
      <x:c r="I1421" s="13"/>
      <x:c r="J1421" s="13"/>
      <x:c r="K1421" s="13"/>
      <x:c r="L1421" s="13"/>
      <x:c r="M1421" s="13"/>
      <x:c r="N1421" s="13"/>
      <x:c r="O1421" s="13"/>
      <x:c r="P1421" s="13"/>
    </x:row>
    <x:row r="1422">
      <x:c r="E1422" s="13"/>
      <x:c r="F1422" s="13"/>
      <x:c r="G1422" s="13"/>
      <x:c r="H1422" s="13"/>
      <x:c r="I1422" s="13"/>
      <x:c r="J1422" s="13"/>
      <x:c r="K1422" s="13"/>
      <x:c r="L1422" s="13"/>
      <x:c r="M1422" s="13"/>
      <x:c r="N1422" s="13"/>
      <x:c r="O1422" s="13"/>
      <x:c r="P1422" s="13"/>
    </x:row>
    <x:row r="1423">
      <x:c r="E1423" s="13"/>
      <x:c r="F1423" s="13"/>
      <x:c r="G1423" s="13"/>
      <x:c r="H1423" s="13"/>
      <x:c r="I1423" s="13"/>
      <x:c r="J1423" s="13"/>
      <x:c r="K1423" s="13"/>
      <x:c r="L1423" s="13"/>
      <x:c r="M1423" s="13"/>
      <x:c r="N1423" s="13"/>
      <x:c r="O1423" s="13"/>
      <x:c r="P1423" s="13"/>
    </x:row>
    <x:row r="1424">
      <x:c r="E1424" s="13"/>
      <x:c r="F1424" s="13"/>
      <x:c r="G1424" s="13"/>
      <x:c r="H1424" s="13"/>
      <x:c r="I1424" s="13"/>
      <x:c r="J1424" s="13"/>
      <x:c r="K1424" s="13"/>
      <x:c r="L1424" s="13"/>
      <x:c r="M1424" s="13"/>
      <x:c r="N1424" s="13"/>
      <x:c r="O1424" s="13"/>
      <x:c r="P1424" s="13"/>
    </x:row>
    <x:row r="1425">
      <x:c r="E1425" s="13"/>
      <x:c r="F1425" s="13"/>
      <x:c r="G1425" s="13"/>
      <x:c r="H1425" s="13"/>
      <x:c r="I1425" s="13"/>
      <x:c r="J1425" s="13"/>
      <x:c r="K1425" s="13"/>
      <x:c r="L1425" s="13"/>
      <x:c r="M1425" s="13"/>
      <x:c r="N1425" s="13"/>
      <x:c r="O1425" s="13"/>
      <x:c r="P1425" s="13"/>
    </x:row>
    <x:row r="1426">
      <x:c r="E1426" s="13"/>
      <x:c r="F1426" s="13"/>
      <x:c r="G1426" s="13"/>
      <x:c r="H1426" s="13"/>
      <x:c r="I1426" s="13"/>
      <x:c r="J1426" s="13"/>
      <x:c r="K1426" s="13"/>
      <x:c r="L1426" s="13"/>
      <x:c r="M1426" s="13"/>
      <x:c r="N1426" s="13"/>
      <x:c r="O1426" s="13"/>
      <x:c r="P1426" s="13"/>
    </x:row>
    <x:row r="1427">
      <x:c r="E1427" s="13"/>
      <x:c r="F1427" s="13"/>
      <x:c r="G1427" s="13"/>
      <x:c r="H1427" s="13"/>
      <x:c r="I1427" s="13"/>
      <x:c r="J1427" s="13"/>
      <x:c r="K1427" s="13"/>
      <x:c r="L1427" s="13"/>
      <x:c r="M1427" s="13"/>
      <x:c r="N1427" s="13"/>
      <x:c r="O1427" s="13"/>
      <x:c r="P1427" s="13"/>
    </x:row>
    <x:row r="1428">
      <x:c r="E1428" s="13"/>
      <x:c r="F1428" s="13"/>
      <x:c r="G1428" s="13"/>
      <x:c r="H1428" s="13"/>
      <x:c r="I1428" s="13"/>
      <x:c r="J1428" s="13"/>
      <x:c r="K1428" s="13"/>
      <x:c r="L1428" s="13"/>
      <x:c r="M1428" s="13"/>
      <x:c r="N1428" s="13"/>
      <x:c r="O1428" s="13"/>
      <x:c r="P1428" s="13"/>
    </x:row>
    <x:row r="1429">
      <x:c r="E1429" s="13"/>
      <x:c r="F1429" s="13"/>
      <x:c r="G1429" s="13"/>
      <x:c r="H1429" s="13"/>
      <x:c r="I1429" s="13"/>
      <x:c r="J1429" s="13"/>
      <x:c r="K1429" s="13"/>
      <x:c r="L1429" s="13"/>
      <x:c r="M1429" s="13"/>
      <x:c r="N1429" s="13"/>
      <x:c r="O1429" s="13"/>
      <x:c r="P1429" s="13"/>
    </x:row>
    <x:row r="1430">
      <x:c r="E1430" s="13"/>
      <x:c r="F1430" s="13"/>
      <x:c r="G1430" s="13"/>
      <x:c r="H1430" s="13"/>
      <x:c r="I1430" s="13"/>
      <x:c r="J1430" s="13"/>
      <x:c r="K1430" s="13"/>
      <x:c r="L1430" s="13"/>
      <x:c r="M1430" s="13"/>
      <x:c r="N1430" s="13"/>
      <x:c r="O1430" s="13"/>
      <x:c r="P1430" s="13"/>
    </x:row>
    <x:row r="1431">
      <x:c r="E1431" s="13"/>
      <x:c r="F1431" s="13"/>
      <x:c r="G1431" s="13"/>
      <x:c r="H1431" s="13"/>
      <x:c r="I1431" s="13"/>
      <x:c r="J1431" s="13"/>
      <x:c r="K1431" s="13"/>
      <x:c r="L1431" s="13"/>
      <x:c r="M1431" s="13"/>
      <x:c r="N1431" s="13"/>
      <x:c r="O1431" s="13"/>
      <x:c r="P1431" s="13"/>
    </x:row>
    <x:row r="1432">
      <x:c r="E1432" s="13"/>
      <x:c r="F1432" s="13"/>
      <x:c r="G1432" s="13"/>
      <x:c r="H1432" s="13"/>
      <x:c r="I1432" s="13"/>
      <x:c r="J1432" s="13"/>
      <x:c r="K1432" s="13"/>
      <x:c r="L1432" s="13"/>
      <x:c r="M1432" s="13"/>
      <x:c r="N1432" s="13"/>
      <x:c r="O1432" s="13"/>
      <x:c r="P1432" s="13"/>
    </x:row>
    <x:row r="1433">
      <x:c r="E1433" s="13"/>
      <x:c r="F1433" s="13"/>
      <x:c r="G1433" s="13"/>
      <x:c r="H1433" s="13"/>
      <x:c r="I1433" s="13"/>
      <x:c r="J1433" s="13"/>
      <x:c r="K1433" s="13"/>
      <x:c r="L1433" s="13"/>
      <x:c r="M1433" s="13"/>
      <x:c r="N1433" s="13"/>
      <x:c r="O1433" s="13"/>
      <x:c r="P1433" s="13"/>
    </x:row>
    <x:row r="1434">
      <x:c r="E1434" s="13"/>
      <x:c r="F1434" s="13"/>
      <x:c r="G1434" s="13"/>
      <x:c r="H1434" s="13"/>
      <x:c r="I1434" s="13"/>
      <x:c r="J1434" s="13"/>
      <x:c r="K1434" s="13"/>
      <x:c r="L1434" s="13"/>
      <x:c r="M1434" s="13"/>
      <x:c r="N1434" s="13"/>
      <x:c r="O1434" s="13"/>
      <x:c r="P1434" s="13"/>
    </x:row>
    <x:row r="1435">
      <x:c r="E1435" s="13"/>
      <x:c r="F1435" s="13"/>
      <x:c r="G1435" s="13"/>
      <x:c r="H1435" s="13"/>
      <x:c r="I1435" s="13"/>
      <x:c r="J1435" s="13"/>
      <x:c r="K1435" s="13"/>
      <x:c r="L1435" s="13"/>
      <x:c r="M1435" s="13"/>
      <x:c r="N1435" s="13"/>
      <x:c r="O1435" s="13"/>
      <x:c r="P1435" s="13"/>
    </x:row>
    <x:row r="1436">
      <x:c r="E1436" s="13"/>
      <x:c r="F1436" s="13"/>
      <x:c r="G1436" s="13"/>
      <x:c r="H1436" s="13"/>
      <x:c r="I1436" s="13"/>
      <x:c r="J1436" s="13"/>
      <x:c r="K1436" s="13"/>
      <x:c r="L1436" s="13"/>
      <x:c r="M1436" s="13"/>
      <x:c r="N1436" s="13"/>
      <x:c r="O1436" s="13"/>
      <x:c r="P1436" s="13"/>
    </x:row>
    <x:row r="1437">
      <x:c r="E1437" s="13"/>
      <x:c r="F1437" s="13"/>
      <x:c r="G1437" s="13"/>
      <x:c r="H1437" s="13"/>
      <x:c r="I1437" s="13"/>
      <x:c r="J1437" s="13"/>
      <x:c r="K1437" s="13"/>
      <x:c r="L1437" s="13"/>
      <x:c r="M1437" s="13"/>
      <x:c r="N1437" s="13"/>
      <x:c r="O1437" s="13"/>
      <x:c r="P1437" s="13"/>
    </x:row>
    <x:row r="1438">
      <x:c r="E1438" s="13"/>
      <x:c r="F1438" s="13"/>
      <x:c r="G1438" s="13"/>
      <x:c r="H1438" s="13"/>
      <x:c r="I1438" s="13"/>
      <x:c r="J1438" s="13"/>
      <x:c r="K1438" s="13"/>
      <x:c r="L1438" s="13"/>
      <x:c r="M1438" s="13"/>
      <x:c r="N1438" s="13"/>
      <x:c r="O1438" s="13"/>
      <x:c r="P1438" s="13"/>
    </x:row>
    <x:row r="1439">
      <x:c r="E1439" s="13"/>
      <x:c r="F1439" s="13"/>
      <x:c r="G1439" s="13"/>
      <x:c r="H1439" s="13"/>
      <x:c r="I1439" s="13"/>
      <x:c r="J1439" s="13"/>
      <x:c r="K1439" s="13"/>
      <x:c r="L1439" s="13"/>
      <x:c r="M1439" s="13"/>
      <x:c r="N1439" s="13"/>
      <x:c r="O1439" s="13"/>
      <x:c r="P1439" s="13"/>
    </x:row>
    <x:row r="1440">
      <x:c r="E1440" s="13"/>
      <x:c r="F1440" s="13"/>
      <x:c r="G1440" s="13"/>
      <x:c r="H1440" s="13"/>
      <x:c r="I1440" s="13"/>
      <x:c r="J1440" s="13"/>
      <x:c r="K1440" s="13"/>
      <x:c r="L1440" s="13"/>
      <x:c r="M1440" s="13"/>
      <x:c r="N1440" s="13"/>
      <x:c r="O1440" s="13"/>
      <x:c r="P1440" s="13"/>
    </x:row>
    <x:row r="1441">
      <x:c r="E1441" s="13"/>
      <x:c r="F1441" s="13"/>
      <x:c r="G1441" s="13"/>
      <x:c r="H1441" s="13"/>
      <x:c r="I1441" s="13"/>
      <x:c r="J1441" s="13"/>
      <x:c r="K1441" s="13"/>
      <x:c r="L1441" s="13"/>
      <x:c r="M1441" s="13"/>
      <x:c r="N1441" s="13"/>
      <x:c r="O1441" s="13"/>
      <x:c r="P1441" s="13"/>
    </x:row>
    <x:row r="1442">
      <x:c r="E1442" s="13"/>
      <x:c r="F1442" s="13"/>
      <x:c r="G1442" s="13"/>
      <x:c r="H1442" s="13"/>
      <x:c r="I1442" s="13"/>
      <x:c r="J1442" s="13"/>
      <x:c r="K1442" s="13"/>
      <x:c r="L1442" s="13"/>
      <x:c r="M1442" s="13"/>
      <x:c r="N1442" s="13"/>
      <x:c r="O1442" s="13"/>
      <x:c r="P1442" s="13"/>
    </x:row>
    <x:row r="1443">
      <x:c r="E1443" s="13"/>
      <x:c r="F1443" s="13"/>
      <x:c r="G1443" s="13"/>
      <x:c r="H1443" s="13"/>
      <x:c r="I1443" s="13"/>
      <x:c r="J1443" s="13"/>
      <x:c r="K1443" s="13"/>
      <x:c r="L1443" s="13"/>
      <x:c r="M1443" s="13"/>
      <x:c r="N1443" s="13"/>
      <x:c r="O1443" s="13"/>
      <x:c r="P1443" s="13"/>
    </x:row>
    <x:row r="1444">
      <x:c r="E1444" s="13"/>
      <x:c r="F1444" s="13"/>
      <x:c r="G1444" s="13"/>
      <x:c r="H1444" s="13"/>
      <x:c r="I1444" s="13"/>
      <x:c r="J1444" s="13"/>
      <x:c r="K1444" s="13"/>
      <x:c r="L1444" s="13"/>
      <x:c r="M1444" s="13"/>
      <x:c r="N1444" s="13"/>
      <x:c r="O1444" s="13"/>
      <x:c r="P1444" s="13"/>
    </x:row>
    <x:row r="1445">
      <x:c r="E1445" s="13"/>
      <x:c r="F1445" s="13"/>
      <x:c r="G1445" s="13"/>
      <x:c r="H1445" s="13"/>
      <x:c r="I1445" s="13"/>
      <x:c r="J1445" s="13"/>
      <x:c r="K1445" s="13"/>
      <x:c r="L1445" s="13"/>
      <x:c r="M1445" s="13"/>
      <x:c r="N1445" s="13"/>
      <x:c r="O1445" s="13"/>
      <x:c r="P1445" s="13"/>
    </x:row>
    <x:row r="1446">
      <x:c r="E1446" s="13"/>
      <x:c r="F1446" s="13"/>
      <x:c r="G1446" s="13"/>
      <x:c r="H1446" s="13"/>
      <x:c r="I1446" s="13"/>
      <x:c r="J1446" s="13"/>
      <x:c r="K1446" s="13"/>
      <x:c r="L1446" s="13"/>
      <x:c r="M1446" s="13"/>
      <x:c r="N1446" s="13"/>
      <x:c r="O1446" s="13"/>
      <x:c r="P1446" s="13"/>
    </x:row>
    <x:row r="1447">
      <x:c r="E1447" s="13"/>
      <x:c r="F1447" s="13"/>
      <x:c r="G1447" s="13"/>
      <x:c r="H1447" s="13"/>
      <x:c r="I1447" s="13"/>
      <x:c r="J1447" s="13"/>
      <x:c r="K1447" s="13"/>
      <x:c r="L1447" s="13"/>
      <x:c r="M1447" s="13"/>
      <x:c r="N1447" s="13"/>
      <x:c r="O1447" s="13"/>
      <x:c r="P1447" s="13"/>
    </x:row>
    <x:row r="1448">
      <x:c r="E1448" s="13"/>
      <x:c r="F1448" s="13"/>
      <x:c r="G1448" s="13"/>
      <x:c r="H1448" s="13"/>
      <x:c r="I1448" s="13"/>
      <x:c r="J1448" s="13"/>
      <x:c r="K1448" s="13"/>
      <x:c r="L1448" s="13"/>
      <x:c r="M1448" s="13"/>
      <x:c r="N1448" s="13"/>
      <x:c r="O1448" s="13"/>
      <x:c r="P1448" s="13"/>
    </x:row>
    <x:row r="1449">
      <x:c r="E1449" s="13"/>
      <x:c r="F1449" s="13"/>
      <x:c r="G1449" s="13"/>
      <x:c r="H1449" s="13"/>
      <x:c r="I1449" s="13"/>
      <x:c r="J1449" s="13"/>
      <x:c r="K1449" s="13"/>
      <x:c r="L1449" s="13"/>
      <x:c r="M1449" s="13"/>
      <x:c r="N1449" s="13"/>
      <x:c r="O1449" s="13"/>
      <x:c r="P1449" s="13"/>
    </x:row>
    <x:row r="1450">
      <x:c r="E1450" s="13"/>
      <x:c r="F1450" s="13"/>
      <x:c r="G1450" s="13"/>
      <x:c r="H1450" s="13"/>
      <x:c r="I1450" s="13"/>
      <x:c r="J1450" s="13"/>
      <x:c r="K1450" s="13"/>
      <x:c r="L1450" s="13"/>
      <x:c r="M1450" s="13"/>
      <x:c r="N1450" s="13"/>
      <x:c r="O1450" s="13"/>
      <x:c r="P1450" s="13"/>
    </x:row>
    <x:row r="1451">
      <x:c r="E1451" s="13"/>
      <x:c r="F1451" s="13"/>
      <x:c r="G1451" s="13"/>
      <x:c r="H1451" s="13"/>
      <x:c r="I1451" s="13"/>
      <x:c r="J1451" s="13"/>
      <x:c r="K1451" s="13"/>
      <x:c r="L1451" s="13"/>
      <x:c r="M1451" s="13"/>
      <x:c r="N1451" s="13"/>
      <x:c r="O1451" s="13"/>
      <x:c r="P1451" s="13"/>
    </x:row>
    <x:row r="1452">
      <x:c r="E1452" s="13"/>
      <x:c r="F1452" s="13"/>
      <x:c r="G1452" s="13"/>
      <x:c r="H1452" s="13"/>
      <x:c r="I1452" s="13"/>
      <x:c r="J1452" s="13"/>
      <x:c r="K1452" s="13"/>
      <x:c r="L1452" s="13"/>
      <x:c r="M1452" s="13"/>
      <x:c r="N1452" s="13"/>
      <x:c r="O1452" s="13"/>
      <x:c r="P1452" s="13"/>
    </x:row>
    <x:row r="1453">
      <x:c r="E1453" s="13"/>
      <x:c r="F1453" s="13"/>
      <x:c r="G1453" s="13"/>
      <x:c r="H1453" s="13"/>
      <x:c r="I1453" s="13"/>
      <x:c r="J1453" s="13"/>
      <x:c r="K1453" s="13"/>
      <x:c r="L1453" s="13"/>
      <x:c r="M1453" s="13"/>
      <x:c r="N1453" s="13"/>
      <x:c r="O1453" s="13"/>
      <x:c r="P1453" s="13"/>
    </x:row>
    <x:row r="1454">
      <x:c r="E1454" s="13"/>
      <x:c r="F1454" s="13"/>
      <x:c r="G1454" s="13"/>
      <x:c r="H1454" s="13"/>
      <x:c r="I1454" s="13"/>
      <x:c r="J1454" s="13"/>
      <x:c r="K1454" s="13"/>
      <x:c r="L1454" s="13"/>
      <x:c r="M1454" s="13"/>
      <x:c r="N1454" s="13"/>
      <x:c r="O1454" s="13"/>
      <x:c r="P1454" s="13"/>
    </x:row>
    <x:row r="1455">
      <x:c r="E1455" s="13"/>
      <x:c r="F1455" s="13"/>
      <x:c r="G1455" s="13"/>
      <x:c r="H1455" s="13"/>
      <x:c r="I1455" s="13"/>
      <x:c r="J1455" s="13"/>
      <x:c r="K1455" s="13"/>
      <x:c r="L1455" s="13"/>
      <x:c r="M1455" s="13"/>
      <x:c r="N1455" s="13"/>
      <x:c r="O1455" s="13"/>
      <x:c r="P1455" s="13"/>
    </x:row>
    <x:row r="1456">
      <x:c r="E1456" s="13"/>
      <x:c r="F1456" s="13"/>
      <x:c r="G1456" s="13"/>
      <x:c r="H1456" s="13"/>
      <x:c r="I1456" s="13"/>
      <x:c r="J1456" s="13"/>
      <x:c r="K1456" s="13"/>
      <x:c r="L1456" s="13"/>
      <x:c r="M1456" s="13"/>
      <x:c r="N1456" s="13"/>
      <x:c r="O1456" s="13"/>
      <x:c r="P1456" s="13"/>
    </x:row>
    <x:row r="1457">
      <x:c r="E1457" s="13"/>
      <x:c r="F1457" s="13"/>
      <x:c r="G1457" s="13"/>
      <x:c r="H1457" s="13"/>
      <x:c r="I1457" s="13"/>
      <x:c r="J1457" s="13"/>
      <x:c r="K1457" s="13"/>
      <x:c r="L1457" s="13"/>
      <x:c r="M1457" s="13"/>
      <x:c r="N1457" s="13"/>
      <x:c r="O1457" s="13"/>
      <x:c r="P1457" s="13"/>
    </x:row>
    <x:row r="1458">
      <x:c r="E1458" s="13"/>
      <x:c r="F1458" s="13"/>
      <x:c r="G1458" s="13"/>
      <x:c r="H1458" s="13"/>
      <x:c r="I1458" s="13"/>
      <x:c r="J1458" s="13"/>
      <x:c r="K1458" s="13"/>
      <x:c r="L1458" s="13"/>
      <x:c r="M1458" s="13"/>
      <x:c r="N1458" s="13"/>
      <x:c r="O1458" s="13"/>
      <x:c r="P1458" s="13"/>
    </x:row>
    <x:row r="1459">
      <x:c r="E1459" s="13"/>
      <x:c r="F1459" s="13"/>
      <x:c r="G1459" s="13"/>
      <x:c r="H1459" s="13"/>
      <x:c r="I1459" s="13"/>
      <x:c r="J1459" s="13"/>
      <x:c r="K1459" s="13"/>
      <x:c r="L1459" s="13"/>
      <x:c r="M1459" s="13"/>
      <x:c r="N1459" s="13"/>
      <x:c r="O1459" s="13"/>
      <x:c r="P1459" s="13"/>
    </x:row>
    <x:row r="1460">
      <x:c r="E1460" s="13"/>
      <x:c r="F1460" s="13"/>
      <x:c r="G1460" s="13"/>
      <x:c r="H1460" s="13"/>
      <x:c r="I1460" s="13"/>
      <x:c r="J1460" s="13"/>
      <x:c r="K1460" s="13"/>
      <x:c r="L1460" s="13"/>
      <x:c r="M1460" s="13"/>
      <x:c r="N1460" s="13"/>
      <x:c r="O1460" s="13"/>
      <x:c r="P1460" s="13"/>
    </x:row>
    <x:row r="1461">
      <x:c r="E1461" s="13"/>
      <x:c r="F1461" s="13"/>
      <x:c r="G1461" s="13"/>
      <x:c r="H1461" s="13"/>
      <x:c r="I1461" s="13"/>
      <x:c r="J1461" s="13"/>
      <x:c r="K1461" s="13"/>
      <x:c r="L1461" s="13"/>
      <x:c r="M1461" s="13"/>
      <x:c r="N1461" s="13"/>
      <x:c r="O1461" s="13"/>
      <x:c r="P1461" s="13"/>
    </x:row>
    <x:row r="1462">
      <x:c r="E1462" s="13"/>
      <x:c r="F1462" s="13"/>
      <x:c r="G1462" s="13"/>
      <x:c r="H1462" s="13"/>
      <x:c r="I1462" s="13"/>
      <x:c r="J1462" s="13"/>
      <x:c r="K1462" s="13"/>
      <x:c r="L1462" s="13"/>
      <x:c r="M1462" s="13"/>
      <x:c r="N1462" s="13"/>
      <x:c r="O1462" s="13"/>
      <x:c r="P1462" s="13"/>
    </x:row>
    <x:row r="1463">
      <x:c r="E1463" s="13"/>
      <x:c r="F1463" s="13"/>
      <x:c r="G1463" s="13"/>
      <x:c r="H1463" s="13"/>
      <x:c r="I1463" s="13"/>
      <x:c r="J1463" s="13"/>
      <x:c r="K1463" s="13"/>
      <x:c r="L1463" s="13"/>
      <x:c r="M1463" s="13"/>
      <x:c r="N1463" s="13"/>
      <x:c r="O1463" s="13"/>
      <x:c r="P1463" s="13"/>
    </x:row>
    <x:row r="1464">
      <x:c r="E1464" s="13"/>
      <x:c r="F1464" s="13"/>
      <x:c r="G1464" s="13"/>
      <x:c r="H1464" s="13"/>
      <x:c r="I1464" s="13"/>
      <x:c r="J1464" s="13"/>
      <x:c r="K1464" s="13"/>
      <x:c r="L1464" s="13"/>
      <x:c r="M1464" s="13"/>
      <x:c r="N1464" s="13"/>
      <x:c r="O1464" s="13"/>
      <x:c r="P1464" s="13"/>
    </x:row>
    <x:row r="1465">
      <x:c r="E1465" s="13"/>
      <x:c r="F1465" s="13"/>
      <x:c r="G1465" s="13"/>
      <x:c r="H1465" s="13"/>
      <x:c r="I1465" s="13"/>
      <x:c r="J1465" s="13"/>
      <x:c r="K1465" s="13"/>
      <x:c r="L1465" s="13"/>
      <x:c r="M1465" s="13"/>
      <x:c r="N1465" s="13"/>
      <x:c r="O1465" s="13"/>
      <x:c r="P1465" s="13"/>
    </x:row>
    <x:row r="1466">
      <x:c r="E1466" s="13"/>
      <x:c r="F1466" s="13"/>
      <x:c r="G1466" s="13"/>
      <x:c r="H1466" s="13"/>
      <x:c r="I1466" s="13"/>
      <x:c r="J1466" s="13"/>
      <x:c r="K1466" s="13"/>
      <x:c r="L1466" s="13"/>
      <x:c r="M1466" s="13"/>
      <x:c r="N1466" s="13"/>
      <x:c r="O1466" s="13"/>
      <x:c r="P1466" s="13"/>
    </x:row>
    <x:row r="1467">
      <x:c r="E1467" s="13"/>
      <x:c r="F1467" s="13"/>
      <x:c r="G1467" s="13"/>
      <x:c r="H1467" s="13"/>
      <x:c r="I1467" s="13"/>
      <x:c r="J1467" s="13"/>
      <x:c r="K1467" s="13"/>
      <x:c r="L1467" s="13"/>
      <x:c r="M1467" s="13"/>
      <x:c r="N1467" s="13"/>
      <x:c r="O1467" s="13"/>
      <x:c r="P1467" s="13"/>
    </x:row>
    <x:row r="1468">
      <x:c r="E1468" s="13"/>
      <x:c r="F1468" s="13"/>
      <x:c r="G1468" s="13"/>
      <x:c r="H1468" s="13"/>
      <x:c r="I1468" s="13"/>
      <x:c r="J1468" s="13"/>
      <x:c r="K1468" s="13"/>
      <x:c r="L1468" s="13"/>
      <x:c r="M1468" s="13"/>
      <x:c r="N1468" s="13"/>
      <x:c r="O1468" s="13"/>
      <x:c r="P1468" s="13"/>
    </x:row>
    <x:row r="1469">
      <x:c r="E1469" s="13"/>
      <x:c r="F1469" s="13"/>
      <x:c r="G1469" s="13"/>
      <x:c r="H1469" s="13"/>
      <x:c r="I1469" s="13"/>
      <x:c r="J1469" s="13"/>
      <x:c r="K1469" s="13"/>
      <x:c r="L1469" s="13"/>
      <x:c r="M1469" s="13"/>
      <x:c r="N1469" s="13"/>
      <x:c r="O1469" s="13"/>
      <x:c r="P1469" s="13"/>
    </x:row>
    <x:row r="1470">
      <x:c r="E1470" s="13"/>
      <x:c r="F1470" s="13"/>
      <x:c r="G1470" s="13"/>
      <x:c r="H1470" s="13"/>
      <x:c r="I1470" s="13"/>
      <x:c r="J1470" s="13"/>
      <x:c r="K1470" s="13"/>
      <x:c r="L1470" s="13"/>
      <x:c r="M1470" s="13"/>
      <x:c r="N1470" s="13"/>
      <x:c r="O1470" s="13"/>
      <x:c r="P1470" s="13"/>
    </x:row>
    <x:row r="1471">
      <x:c r="E1471" s="13"/>
      <x:c r="F1471" s="13"/>
      <x:c r="G1471" s="13"/>
      <x:c r="H1471" s="13"/>
      <x:c r="I1471" s="13"/>
      <x:c r="J1471" s="13"/>
      <x:c r="K1471" s="13"/>
      <x:c r="L1471" s="13"/>
      <x:c r="M1471" s="13"/>
      <x:c r="N1471" s="13"/>
      <x:c r="O1471" s="13"/>
      <x:c r="P1471" s="13"/>
    </x:row>
    <x:row r="1472">
      <x:c r="E1472" s="13"/>
      <x:c r="F1472" s="13"/>
      <x:c r="G1472" s="13"/>
      <x:c r="H1472" s="13"/>
      <x:c r="I1472" s="13"/>
      <x:c r="J1472" s="13"/>
      <x:c r="K1472" s="13"/>
      <x:c r="L1472" s="13"/>
      <x:c r="M1472" s="13"/>
      <x:c r="N1472" s="13"/>
      <x:c r="O1472" s="13"/>
      <x:c r="P1472" s="13"/>
    </x:row>
    <x:row r="1473">
      <x:c r="E1473" s="13"/>
      <x:c r="F1473" s="13"/>
      <x:c r="G1473" s="13"/>
      <x:c r="H1473" s="13"/>
      <x:c r="I1473" s="13"/>
      <x:c r="J1473" s="13"/>
      <x:c r="K1473" s="13"/>
      <x:c r="L1473" s="13"/>
      <x:c r="M1473" s="13"/>
      <x:c r="N1473" s="13"/>
      <x:c r="O1473" s="13"/>
      <x:c r="P1473" s="13"/>
    </x:row>
    <x:row r="1474">
      <x:c r="E1474" s="13"/>
      <x:c r="F1474" s="13"/>
      <x:c r="G1474" s="13"/>
      <x:c r="H1474" s="13"/>
      <x:c r="I1474" s="13"/>
      <x:c r="J1474" s="13"/>
      <x:c r="K1474" s="13"/>
      <x:c r="L1474" s="13"/>
      <x:c r="M1474" s="13"/>
      <x:c r="N1474" s="13"/>
      <x:c r="O1474" s="13"/>
      <x:c r="P1474" s="13"/>
    </x:row>
    <x:row r="1475">
      <x:c r="E1475" s="13"/>
      <x:c r="F1475" s="13"/>
      <x:c r="G1475" s="13"/>
      <x:c r="H1475" s="13"/>
      <x:c r="I1475" s="13"/>
      <x:c r="J1475" s="13"/>
      <x:c r="K1475" s="13"/>
      <x:c r="L1475" s="13"/>
      <x:c r="M1475" s="13"/>
      <x:c r="N1475" s="13"/>
      <x:c r="O1475" s="13"/>
      <x:c r="P1475" s="13"/>
    </x:row>
    <x:row r="1476">
      <x:c r="E1476" s="13"/>
      <x:c r="F1476" s="13"/>
      <x:c r="G1476" s="13"/>
      <x:c r="H1476" s="13"/>
      <x:c r="I1476" s="13"/>
      <x:c r="J1476" s="13"/>
      <x:c r="K1476" s="13"/>
      <x:c r="L1476" s="13"/>
      <x:c r="M1476" s="13"/>
      <x:c r="N1476" s="13"/>
      <x:c r="O1476" s="13"/>
      <x:c r="P1476" s="13"/>
    </x:row>
    <x:row r="1477">
      <x:c r="E1477" s="13"/>
      <x:c r="F1477" s="13"/>
      <x:c r="G1477" s="13"/>
      <x:c r="H1477" s="13"/>
      <x:c r="I1477" s="13"/>
      <x:c r="J1477" s="13"/>
      <x:c r="K1477" s="13"/>
      <x:c r="L1477" s="13"/>
      <x:c r="M1477" s="13"/>
      <x:c r="N1477" s="13"/>
      <x:c r="O1477" s="13"/>
      <x:c r="P1477" s="13"/>
    </x:row>
    <x:row r="1478">
      <x:c r="E1478" s="13"/>
      <x:c r="F1478" s="13"/>
      <x:c r="G1478" s="13"/>
      <x:c r="H1478" s="13"/>
      <x:c r="I1478" s="13"/>
      <x:c r="J1478" s="13"/>
      <x:c r="K1478" s="13"/>
      <x:c r="L1478" s="13"/>
      <x:c r="M1478" s="13"/>
      <x:c r="N1478" s="13"/>
      <x:c r="O1478" s="13"/>
      <x:c r="P1478" s="13"/>
    </x:row>
    <x:row r="1479">
      <x:c r="E1479" s="13"/>
      <x:c r="F1479" s="13"/>
      <x:c r="G1479" s="13"/>
      <x:c r="H1479" s="13"/>
      <x:c r="I1479" s="13"/>
      <x:c r="J1479" s="13"/>
      <x:c r="K1479" s="13"/>
      <x:c r="L1479" s="13"/>
      <x:c r="M1479" s="13"/>
      <x:c r="N1479" s="13"/>
      <x:c r="O1479" s="13"/>
      <x:c r="P1479" s="13"/>
    </x:row>
    <x:row r="1480">
      <x:c r="E1480" s="13"/>
      <x:c r="F1480" s="13"/>
      <x:c r="G1480" s="13"/>
      <x:c r="H1480" s="13"/>
      <x:c r="I1480" s="13"/>
      <x:c r="J1480" s="13"/>
      <x:c r="K1480" s="13"/>
      <x:c r="L1480" s="13"/>
      <x:c r="M1480" s="13"/>
      <x:c r="N1480" s="13"/>
      <x:c r="O1480" s="13"/>
      <x:c r="P1480" s="13"/>
    </x:row>
    <x:row r="1481">
      <x:c r="E1481" s="13"/>
      <x:c r="F1481" s="13"/>
      <x:c r="G1481" s="13"/>
      <x:c r="H1481" s="13"/>
      <x:c r="I1481" s="13"/>
      <x:c r="J1481" s="13"/>
      <x:c r="K1481" s="13"/>
      <x:c r="L1481" s="13"/>
      <x:c r="M1481" s="13"/>
      <x:c r="N1481" s="13"/>
      <x:c r="O1481" s="13"/>
      <x:c r="P1481" s="13"/>
    </x:row>
    <x:row r="1482">
      <x:c r="E1482" s="13"/>
      <x:c r="F1482" s="13"/>
      <x:c r="G1482" s="13"/>
      <x:c r="H1482" s="13"/>
      <x:c r="I1482" s="13"/>
      <x:c r="J1482" s="13"/>
      <x:c r="K1482" s="13"/>
      <x:c r="L1482" s="13"/>
      <x:c r="M1482" s="13"/>
      <x:c r="N1482" s="13"/>
      <x:c r="O1482" s="13"/>
      <x:c r="P1482" s="13"/>
    </x:row>
    <x:row r="1483">
      <x:c r="E1483" s="13"/>
      <x:c r="F1483" s="13"/>
      <x:c r="G1483" s="13"/>
      <x:c r="H1483" s="13"/>
      <x:c r="I1483" s="13"/>
      <x:c r="J1483" s="13"/>
      <x:c r="K1483" s="13"/>
      <x:c r="L1483" s="13"/>
      <x:c r="M1483" s="13"/>
      <x:c r="N1483" s="13"/>
      <x:c r="O1483" s="13"/>
      <x:c r="P1483" s="13"/>
    </x:row>
    <x:row r="1484">
      <x:c r="E1484" s="13"/>
      <x:c r="F1484" s="13"/>
      <x:c r="G1484" s="13"/>
      <x:c r="H1484" s="13"/>
      <x:c r="I1484" s="13"/>
      <x:c r="J1484" s="13"/>
      <x:c r="K1484" s="13"/>
      <x:c r="L1484" s="13"/>
      <x:c r="M1484" s="13"/>
      <x:c r="N1484" s="13"/>
      <x:c r="O1484" s="13"/>
      <x:c r="P1484" s="13"/>
    </x:row>
    <x:row r="1485">
      <x:c r="E1485" s="13"/>
      <x:c r="F1485" s="13"/>
      <x:c r="G1485" s="13"/>
      <x:c r="H1485" s="13"/>
      <x:c r="I1485" s="13"/>
      <x:c r="J1485" s="13"/>
      <x:c r="K1485" s="13"/>
      <x:c r="L1485" s="13"/>
      <x:c r="M1485" s="13"/>
      <x:c r="N1485" s="13"/>
      <x:c r="O1485" s="13"/>
      <x:c r="P1485" s="13"/>
    </x:row>
    <x:row r="1486">
      <x:c r="E1486" s="13"/>
      <x:c r="F1486" s="13"/>
      <x:c r="G1486" s="13"/>
      <x:c r="H1486" s="13"/>
      <x:c r="I1486" s="13"/>
      <x:c r="J1486" s="13"/>
      <x:c r="K1486" s="13"/>
      <x:c r="L1486" s="13"/>
      <x:c r="M1486" s="13"/>
      <x:c r="N1486" s="13"/>
      <x:c r="O1486" s="13"/>
      <x:c r="P1486" s="13"/>
    </x:row>
    <x:row r="1487">
      <x:c r="E1487" s="13"/>
      <x:c r="F1487" s="13"/>
      <x:c r="G1487" s="13"/>
      <x:c r="H1487" s="13"/>
      <x:c r="I1487" s="13"/>
      <x:c r="J1487" s="13"/>
      <x:c r="K1487" s="13"/>
      <x:c r="L1487" s="13"/>
      <x:c r="M1487" s="13"/>
      <x:c r="N1487" s="13"/>
      <x:c r="O1487" s="13"/>
      <x:c r="P1487" s="13"/>
    </x:row>
    <x:row r="1488">
      <x:c r="E1488" s="13"/>
      <x:c r="F1488" s="13"/>
      <x:c r="G1488" s="13"/>
      <x:c r="H1488" s="13"/>
      <x:c r="I1488" s="13"/>
      <x:c r="J1488" s="13"/>
      <x:c r="K1488" s="13"/>
      <x:c r="L1488" s="13"/>
      <x:c r="M1488" s="13"/>
      <x:c r="N1488" s="13"/>
      <x:c r="O1488" s="13"/>
      <x:c r="P1488" s="13"/>
    </x:row>
    <x:row r="1489">
      <x:c r="E1489" s="13"/>
      <x:c r="F1489" s="13"/>
      <x:c r="G1489" s="13"/>
      <x:c r="H1489" s="13"/>
      <x:c r="I1489" s="13"/>
      <x:c r="J1489" s="13"/>
      <x:c r="K1489" s="13"/>
      <x:c r="L1489" s="13"/>
      <x:c r="M1489" s="13"/>
      <x:c r="N1489" s="13"/>
      <x:c r="O1489" s="13"/>
      <x:c r="P1489" s="13"/>
    </x:row>
    <x:row r="1490">
      <x:c r="E1490" s="13"/>
      <x:c r="F1490" s="13"/>
      <x:c r="G1490" s="13"/>
      <x:c r="H1490" s="13"/>
      <x:c r="I1490" s="13"/>
      <x:c r="J1490" s="13"/>
      <x:c r="K1490" s="13"/>
      <x:c r="L1490" s="13"/>
      <x:c r="M1490" s="13"/>
      <x:c r="N1490" s="13"/>
      <x:c r="O1490" s="13"/>
      <x:c r="P1490" s="13"/>
    </x:row>
    <x:row r="1491">
      <x:c r="E1491" s="13"/>
      <x:c r="F1491" s="13"/>
      <x:c r="G1491" s="13"/>
      <x:c r="H1491" s="13"/>
      <x:c r="I1491" s="13"/>
      <x:c r="J1491" s="13"/>
      <x:c r="K1491" s="13"/>
      <x:c r="L1491" s="13"/>
      <x:c r="M1491" s="13"/>
      <x:c r="N1491" s="13"/>
      <x:c r="O1491" s="13"/>
      <x:c r="P1491" s="13"/>
    </x:row>
    <x:row r="1492">
      <x:c r="E1492" s="13"/>
      <x:c r="F1492" s="13"/>
      <x:c r="G1492" s="13"/>
      <x:c r="H1492" s="13"/>
      <x:c r="I1492" s="13"/>
      <x:c r="J1492" s="13"/>
      <x:c r="K1492" s="13"/>
      <x:c r="L1492" s="13"/>
      <x:c r="M1492" s="13"/>
      <x:c r="N1492" s="13"/>
      <x:c r="O1492" s="13"/>
      <x:c r="P1492" s="13"/>
    </x:row>
    <x:row r="1493">
      <x:c r="E1493" s="13"/>
      <x:c r="F1493" s="13"/>
      <x:c r="G1493" s="13"/>
      <x:c r="H1493" s="13"/>
      <x:c r="I1493" s="13"/>
      <x:c r="J1493" s="13"/>
      <x:c r="K1493" s="13"/>
      <x:c r="L1493" s="13"/>
      <x:c r="M1493" s="13"/>
      <x:c r="N1493" s="13"/>
      <x:c r="O1493" s="13"/>
      <x:c r="P1493" s="13"/>
    </x:row>
    <x:row r="1494">
      <x:c r="E1494" s="13"/>
      <x:c r="F1494" s="13"/>
      <x:c r="G1494" s="13"/>
      <x:c r="H1494" s="13"/>
      <x:c r="I1494" s="13"/>
      <x:c r="J1494" s="13"/>
      <x:c r="K1494" s="13"/>
      <x:c r="L1494" s="13"/>
      <x:c r="M1494" s="13"/>
      <x:c r="N1494" s="13"/>
      <x:c r="O1494" s="13"/>
      <x:c r="P1494" s="13"/>
    </x:row>
    <x:row r="1495">
      <x:c r="E1495" s="13"/>
      <x:c r="F1495" s="13"/>
      <x:c r="G1495" s="13"/>
      <x:c r="H1495" s="13"/>
      <x:c r="I1495" s="13"/>
      <x:c r="J1495" s="13"/>
      <x:c r="K1495" s="13"/>
      <x:c r="L1495" s="13"/>
      <x:c r="M1495" s="13"/>
      <x:c r="N1495" s="13"/>
      <x:c r="O1495" s="13"/>
      <x:c r="P1495" s="13"/>
    </x:row>
    <x:row r="1496">
      <x:c r="E1496" s="13"/>
      <x:c r="F1496" s="13"/>
      <x:c r="G1496" s="13"/>
      <x:c r="H1496" s="13"/>
      <x:c r="I1496" s="13"/>
      <x:c r="J1496" s="13"/>
      <x:c r="K1496" s="13"/>
      <x:c r="L1496" s="13"/>
      <x:c r="M1496" s="13"/>
      <x:c r="N1496" s="13"/>
      <x:c r="O1496" s="13"/>
      <x:c r="P1496" s="13"/>
    </x:row>
    <x:row r="1497">
      <x:c r="E1497" s="13"/>
      <x:c r="F1497" s="13"/>
      <x:c r="G1497" s="13"/>
      <x:c r="H1497" s="13"/>
      <x:c r="I1497" s="13"/>
      <x:c r="J1497" s="13"/>
      <x:c r="K1497" s="13"/>
      <x:c r="L1497" s="13"/>
      <x:c r="M1497" s="13"/>
      <x:c r="N1497" s="13"/>
      <x:c r="O1497" s="13"/>
      <x:c r="P1497" s="13"/>
    </x:row>
    <x:row r="1498">
      <x:c r="E1498" s="13"/>
      <x:c r="F1498" s="13"/>
      <x:c r="G1498" s="13"/>
      <x:c r="H1498" s="13"/>
      <x:c r="I1498" s="13"/>
      <x:c r="J1498" s="13"/>
      <x:c r="K1498" s="13"/>
      <x:c r="L1498" s="13"/>
      <x:c r="M1498" s="13"/>
      <x:c r="N1498" s="13"/>
      <x:c r="O1498" s="13"/>
      <x:c r="P1498" s="13"/>
    </x:row>
    <x:row r="1499">
      <x:c r="E1499" s="13"/>
      <x:c r="F1499" s="13"/>
      <x:c r="G1499" s="13"/>
      <x:c r="H1499" s="13"/>
      <x:c r="I1499" s="13"/>
      <x:c r="J1499" s="13"/>
      <x:c r="K1499" s="13"/>
      <x:c r="L1499" s="13"/>
      <x:c r="M1499" s="13"/>
      <x:c r="N1499" s="13"/>
      <x:c r="O1499" s="13"/>
      <x:c r="P1499" s="13"/>
    </x:row>
    <x:row r="1500">
      <x:c r="E1500" s="13"/>
      <x:c r="F1500" s="13"/>
      <x:c r="G1500" s="13"/>
      <x:c r="H1500" s="13"/>
      <x:c r="I1500" s="13"/>
      <x:c r="J1500" s="13"/>
      <x:c r="K1500" s="13"/>
      <x:c r="L1500" s="13"/>
      <x:c r="M1500" s="13"/>
      <x:c r="N1500" s="13"/>
      <x:c r="O1500" s="13"/>
      <x:c r="P1500" s="13"/>
    </x:row>
    <x:row r="1501">
      <x:c r="E1501" s="13"/>
      <x:c r="F1501" s="13"/>
      <x:c r="G1501" s="13"/>
      <x:c r="H1501" s="13"/>
      <x:c r="I1501" s="13"/>
      <x:c r="J1501" s="13"/>
      <x:c r="K1501" s="13"/>
      <x:c r="L1501" s="13"/>
      <x:c r="M1501" s="13"/>
      <x:c r="N1501" s="13"/>
      <x:c r="O1501" s="13"/>
      <x:c r="P1501" s="13"/>
    </x:row>
    <x:row r="1502">
      <x:c r="E1502" s="13"/>
      <x:c r="F1502" s="13"/>
      <x:c r="G1502" s="13"/>
      <x:c r="H1502" s="13"/>
      <x:c r="I1502" s="13"/>
      <x:c r="J1502" s="13"/>
      <x:c r="K1502" s="13"/>
      <x:c r="L1502" s="13"/>
      <x:c r="M1502" s="13"/>
      <x:c r="N1502" s="13"/>
      <x:c r="O1502" s="13"/>
      <x:c r="P1502" s="13"/>
    </x:row>
    <x:row r="1503">
      <x:c r="E1503" s="13"/>
      <x:c r="F1503" s="13"/>
      <x:c r="G1503" s="13"/>
      <x:c r="H1503" s="13"/>
      <x:c r="I1503" s="13"/>
      <x:c r="J1503" s="13"/>
      <x:c r="K1503" s="13"/>
      <x:c r="L1503" s="13"/>
      <x:c r="M1503" s="13"/>
      <x:c r="N1503" s="13"/>
      <x:c r="O1503" s="13"/>
      <x:c r="P1503" s="13"/>
    </x:row>
    <x:row r="1504">
      <x:c r="E1504" s="13"/>
      <x:c r="F1504" s="13"/>
      <x:c r="G1504" s="13"/>
      <x:c r="H1504" s="13"/>
      <x:c r="I1504" s="13"/>
      <x:c r="J1504" s="13"/>
      <x:c r="K1504" s="13"/>
      <x:c r="L1504" s="13"/>
      <x:c r="M1504" s="13"/>
      <x:c r="N1504" s="13"/>
      <x:c r="O1504" s="13"/>
      <x:c r="P1504" s="13"/>
    </x:row>
    <x:row r="1505">
      <x:c r="E1505" s="13"/>
      <x:c r="F1505" s="13"/>
      <x:c r="G1505" s="13"/>
      <x:c r="H1505" s="13"/>
      <x:c r="I1505" s="13"/>
      <x:c r="J1505" s="13"/>
      <x:c r="K1505" s="13"/>
      <x:c r="L1505" s="13"/>
      <x:c r="M1505" s="13"/>
      <x:c r="N1505" s="13"/>
      <x:c r="O1505" s="13"/>
      <x:c r="P1505" s="13"/>
    </x:row>
    <x:row r="1506">
      <x:c r="E1506" s="13"/>
      <x:c r="F1506" s="13"/>
      <x:c r="G1506" s="13"/>
      <x:c r="H1506" s="13"/>
      <x:c r="I1506" s="13"/>
      <x:c r="J1506" s="13"/>
      <x:c r="K1506" s="13"/>
      <x:c r="L1506" s="13"/>
      <x:c r="M1506" s="13"/>
      <x:c r="N1506" s="13"/>
      <x:c r="O1506" s="13"/>
      <x:c r="P1506" s="13"/>
    </x:row>
    <x:row r="1507">
      <x:c r="E1507" s="13"/>
      <x:c r="F1507" s="13"/>
      <x:c r="G1507" s="13"/>
      <x:c r="H1507" s="13"/>
      <x:c r="I1507" s="13"/>
      <x:c r="J1507" s="13"/>
      <x:c r="K1507" s="13"/>
      <x:c r="L1507" s="13"/>
      <x:c r="M1507" s="13"/>
      <x:c r="N1507" s="13"/>
      <x:c r="O1507" s="13"/>
      <x:c r="P1507" s="13"/>
    </x:row>
    <x:row r="1508">
      <x:c r="E1508" s="13"/>
      <x:c r="F1508" s="13"/>
      <x:c r="G1508" s="13"/>
      <x:c r="H1508" s="13"/>
      <x:c r="I1508" s="13"/>
      <x:c r="J1508" s="13"/>
      <x:c r="K1508" s="13"/>
      <x:c r="L1508" s="13"/>
      <x:c r="M1508" s="13"/>
      <x:c r="N1508" s="13"/>
      <x:c r="O1508" s="13"/>
      <x:c r="P1508" s="13"/>
    </x:row>
    <x:row r="1509">
      <x:c r="E1509" s="13"/>
      <x:c r="F1509" s="13"/>
      <x:c r="G1509" s="13"/>
      <x:c r="H1509" s="13"/>
      <x:c r="I1509" s="13"/>
      <x:c r="J1509" s="13"/>
      <x:c r="K1509" s="13"/>
      <x:c r="L1509" s="13"/>
      <x:c r="M1509" s="13"/>
      <x:c r="N1509" s="13"/>
      <x:c r="O1509" s="13"/>
      <x:c r="P1509" s="13"/>
    </x:row>
    <x:row r="1510">
      <x:c r="E1510" s="13"/>
      <x:c r="F1510" s="13"/>
      <x:c r="G1510" s="13"/>
      <x:c r="H1510" s="13"/>
      <x:c r="I1510" s="13"/>
      <x:c r="J1510" s="13"/>
      <x:c r="K1510" s="13"/>
      <x:c r="L1510" s="13"/>
      <x:c r="M1510" s="13"/>
      <x:c r="N1510" s="13"/>
      <x:c r="O1510" s="13"/>
      <x:c r="P1510" s="13"/>
    </x:row>
    <x:row r="1511">
      <x:c r="E1511" s="13"/>
      <x:c r="F1511" s="13"/>
      <x:c r="G1511" s="13"/>
      <x:c r="H1511" s="13"/>
      <x:c r="I1511" s="13"/>
      <x:c r="J1511" s="13"/>
      <x:c r="K1511" s="13"/>
      <x:c r="L1511" s="13"/>
      <x:c r="M1511" s="13"/>
      <x:c r="N1511" s="13"/>
      <x:c r="O1511" s="13"/>
      <x:c r="P1511" s="13"/>
    </x:row>
    <x:row r="1512">
      <x:c r="E1512" s="13"/>
      <x:c r="F1512" s="13"/>
      <x:c r="G1512" s="13"/>
      <x:c r="H1512" s="13"/>
      <x:c r="I1512" s="13"/>
      <x:c r="J1512" s="13"/>
      <x:c r="K1512" s="13"/>
      <x:c r="L1512" s="13"/>
      <x:c r="M1512" s="13"/>
      <x:c r="N1512" s="13"/>
      <x:c r="O1512" s="13"/>
      <x:c r="P1512" s="13"/>
    </x:row>
    <x:row r="1513">
      <x:c r="E1513" s="13"/>
      <x:c r="F1513" s="13"/>
      <x:c r="G1513" s="13"/>
      <x:c r="H1513" s="13"/>
      <x:c r="I1513" s="13"/>
      <x:c r="J1513" s="13"/>
      <x:c r="K1513" s="13"/>
      <x:c r="L1513" s="13"/>
      <x:c r="M1513" s="13"/>
      <x:c r="N1513" s="13"/>
      <x:c r="O1513" s="13"/>
      <x:c r="P1513" s="13"/>
    </x:row>
    <x:row r="1514">
      <x:c r="E1514" s="13"/>
      <x:c r="F1514" s="13"/>
      <x:c r="G1514" s="13"/>
      <x:c r="H1514" s="13"/>
      <x:c r="I1514" s="13"/>
      <x:c r="J1514" s="13"/>
      <x:c r="K1514" s="13"/>
      <x:c r="L1514" s="13"/>
      <x:c r="M1514" s="13"/>
      <x:c r="N1514" s="13"/>
      <x:c r="O1514" s="13"/>
      <x:c r="P1514" s="13"/>
    </x:row>
    <x:row r="1515">
      <x:c r="E1515" s="13"/>
      <x:c r="F1515" s="13"/>
      <x:c r="G1515" s="13"/>
      <x:c r="H1515" s="13"/>
      <x:c r="I1515" s="13"/>
      <x:c r="J1515" s="13"/>
      <x:c r="K1515" s="13"/>
      <x:c r="L1515" s="13"/>
      <x:c r="M1515" s="13"/>
      <x:c r="N1515" s="13"/>
      <x:c r="O1515" s="13"/>
      <x:c r="P1515" s="13"/>
    </x:row>
    <x:row r="1516">
      <x:c r="E1516" s="13"/>
      <x:c r="F1516" s="13"/>
      <x:c r="G1516" s="13"/>
      <x:c r="H1516" s="13"/>
      <x:c r="I1516" s="13"/>
      <x:c r="J1516" s="13"/>
      <x:c r="K1516" s="13"/>
      <x:c r="L1516" s="13"/>
      <x:c r="M1516" s="13"/>
      <x:c r="N1516" s="13"/>
      <x:c r="O1516" s="13"/>
      <x:c r="P1516" s="13"/>
    </x:row>
    <x:row r="1517">
      <x:c r="E1517" s="13"/>
      <x:c r="F1517" s="13"/>
      <x:c r="G1517" s="13"/>
      <x:c r="H1517" s="13"/>
      <x:c r="I1517" s="13"/>
      <x:c r="J1517" s="13"/>
      <x:c r="K1517" s="13"/>
      <x:c r="L1517" s="13"/>
      <x:c r="M1517" s="13"/>
      <x:c r="N1517" s="13"/>
      <x:c r="O1517" s="13"/>
      <x:c r="P1517" s="13"/>
    </x:row>
    <x:row r="1518">
      <x:c r="E1518" s="13"/>
      <x:c r="F1518" s="13"/>
      <x:c r="G1518" s="13"/>
      <x:c r="H1518" s="13"/>
      <x:c r="I1518" s="13"/>
      <x:c r="J1518" s="13"/>
      <x:c r="K1518" s="13"/>
      <x:c r="L1518" s="13"/>
      <x:c r="M1518" s="13"/>
      <x:c r="N1518" s="13"/>
      <x:c r="O1518" s="13"/>
      <x:c r="P1518" s="13"/>
    </x:row>
    <x:row r="1519">
      <x:c r="E1519" s="13"/>
      <x:c r="F1519" s="13"/>
      <x:c r="G1519" s="13"/>
      <x:c r="H1519" s="13"/>
      <x:c r="I1519" s="13"/>
      <x:c r="J1519" s="13"/>
      <x:c r="K1519" s="13"/>
      <x:c r="L1519" s="13"/>
      <x:c r="M1519" s="13"/>
      <x:c r="N1519" s="13"/>
      <x:c r="O1519" s="13"/>
      <x:c r="P1519" s="13"/>
    </x:row>
    <x:row r="1520">
      <x:c r="E1520" s="13"/>
      <x:c r="F1520" s="13"/>
      <x:c r="G1520" s="13"/>
      <x:c r="H1520" s="13"/>
      <x:c r="I1520" s="13"/>
      <x:c r="J1520" s="13"/>
      <x:c r="K1520" s="13"/>
      <x:c r="L1520" s="13"/>
      <x:c r="M1520" s="13"/>
      <x:c r="N1520" s="13"/>
      <x:c r="O1520" s="13"/>
      <x:c r="P1520" s="13"/>
    </x:row>
    <x:row r="1521">
      <x:c r="E1521" s="13"/>
      <x:c r="F1521" s="13"/>
      <x:c r="G1521" s="13"/>
      <x:c r="H1521" s="13"/>
      <x:c r="I1521" s="13"/>
      <x:c r="J1521" s="13"/>
      <x:c r="K1521" s="13"/>
      <x:c r="L1521" s="13"/>
      <x:c r="M1521" s="13"/>
      <x:c r="N1521" s="13"/>
      <x:c r="O1521" s="13"/>
      <x:c r="P1521" s="13"/>
    </x:row>
    <x:row r="1522">
      <x:c r="E1522" s="13"/>
      <x:c r="F1522" s="13"/>
      <x:c r="G1522" s="13"/>
      <x:c r="H1522" s="13"/>
      <x:c r="I1522" s="13"/>
      <x:c r="J1522" s="13"/>
      <x:c r="K1522" s="13"/>
      <x:c r="L1522" s="13"/>
      <x:c r="M1522" s="13"/>
      <x:c r="N1522" s="13"/>
      <x:c r="O1522" s="13"/>
      <x:c r="P1522" s="13"/>
    </x:row>
    <x:row r="1523">
      <x:c r="E1523" s="13"/>
      <x:c r="F1523" s="13"/>
      <x:c r="G1523" s="13"/>
      <x:c r="H1523" s="13"/>
      <x:c r="I1523" s="13"/>
      <x:c r="J1523" s="13"/>
      <x:c r="K1523" s="13"/>
      <x:c r="L1523" s="13"/>
      <x:c r="M1523" s="13"/>
      <x:c r="N1523" s="13"/>
      <x:c r="O1523" s="13"/>
      <x:c r="P1523" s="13"/>
    </x:row>
    <x:row r="1524">
      <x:c r="E1524" s="13"/>
      <x:c r="F1524" s="13"/>
      <x:c r="G1524" s="13"/>
      <x:c r="H1524" s="13"/>
      <x:c r="I1524" s="13"/>
      <x:c r="J1524" s="13"/>
      <x:c r="K1524" s="13"/>
      <x:c r="L1524" s="13"/>
      <x:c r="M1524" s="13"/>
      <x:c r="N1524" s="13"/>
      <x:c r="O1524" s="13"/>
      <x:c r="P1524" s="13"/>
    </x:row>
    <x:row r="1525">
      <x:c r="E1525" s="13"/>
      <x:c r="F1525" s="13"/>
      <x:c r="G1525" s="13"/>
      <x:c r="H1525" s="13"/>
      <x:c r="I1525" s="13"/>
      <x:c r="J1525" s="13"/>
      <x:c r="K1525" s="13"/>
      <x:c r="L1525" s="13"/>
      <x:c r="M1525" s="13"/>
      <x:c r="N1525" s="13"/>
      <x:c r="O1525" s="13"/>
      <x:c r="P1525" s="13"/>
    </x:row>
    <x:row r="1526">
      <x:c r="E1526" s="13"/>
      <x:c r="F1526" s="13"/>
      <x:c r="G1526" s="13"/>
      <x:c r="H1526" s="13"/>
      <x:c r="I1526" s="13"/>
      <x:c r="J1526" s="13"/>
      <x:c r="K1526" s="13"/>
      <x:c r="L1526" s="13"/>
      <x:c r="M1526" s="13"/>
      <x:c r="N1526" s="13"/>
      <x:c r="O1526" s="13"/>
      <x:c r="P1526" s="13"/>
    </x:row>
    <x:row r="1527">
      <x:c r="E1527" s="13"/>
      <x:c r="F1527" s="13"/>
      <x:c r="G1527" s="13"/>
      <x:c r="H1527" s="13"/>
      <x:c r="I1527" s="13"/>
      <x:c r="J1527" s="13"/>
      <x:c r="K1527" s="13"/>
      <x:c r="L1527" s="13"/>
      <x:c r="M1527" s="13"/>
      <x:c r="N1527" s="13"/>
      <x:c r="O1527" s="13"/>
      <x:c r="P1527" s="13"/>
    </x:row>
    <x:row r="1528">
      <x:c r="E1528" s="13"/>
      <x:c r="F1528" s="13"/>
      <x:c r="G1528" s="13"/>
      <x:c r="H1528" s="13"/>
      <x:c r="I1528" s="13"/>
      <x:c r="J1528" s="13"/>
      <x:c r="K1528" s="13"/>
      <x:c r="L1528" s="13"/>
      <x:c r="M1528" s="13"/>
      <x:c r="N1528" s="13"/>
      <x:c r="O1528" s="13"/>
      <x:c r="P1528" s="13"/>
    </x:row>
    <x:row r="1529">
      <x:c r="E1529" s="13"/>
      <x:c r="F1529" s="13"/>
      <x:c r="G1529" s="13"/>
      <x:c r="H1529" s="13"/>
      <x:c r="I1529" s="13"/>
      <x:c r="J1529" s="13"/>
      <x:c r="K1529" s="13"/>
      <x:c r="L1529" s="13"/>
      <x:c r="M1529" s="13"/>
      <x:c r="N1529" s="13"/>
      <x:c r="O1529" s="13"/>
      <x:c r="P1529" s="13"/>
    </x:row>
    <x:row r="1530">
      <x:c r="E1530" s="13"/>
      <x:c r="F1530" s="13"/>
      <x:c r="G1530" s="13"/>
      <x:c r="H1530" s="13"/>
      <x:c r="I1530" s="13"/>
      <x:c r="J1530" s="13"/>
      <x:c r="K1530" s="13"/>
      <x:c r="L1530" s="13"/>
      <x:c r="M1530" s="13"/>
      <x:c r="N1530" s="13"/>
      <x:c r="O1530" s="13"/>
      <x:c r="P1530" s="13"/>
    </x:row>
    <x:row r="1531">
      <x:c r="E1531" s="13"/>
      <x:c r="F1531" s="13"/>
      <x:c r="G1531" s="13"/>
      <x:c r="H1531" s="13"/>
      <x:c r="I1531" s="13"/>
      <x:c r="J1531" s="13"/>
      <x:c r="K1531" s="13"/>
      <x:c r="L1531" s="13"/>
      <x:c r="M1531" s="13"/>
      <x:c r="N1531" s="13"/>
      <x:c r="O1531" s="13"/>
      <x:c r="P1531" s="13"/>
    </x:row>
    <x:row r="1532">
      <x:c r="E1532" s="13"/>
      <x:c r="F1532" s="13"/>
      <x:c r="G1532" s="13"/>
      <x:c r="H1532" s="13"/>
      <x:c r="I1532" s="13"/>
      <x:c r="J1532" s="13"/>
      <x:c r="K1532" s="13"/>
      <x:c r="L1532" s="13"/>
      <x:c r="M1532" s="13"/>
      <x:c r="N1532" s="13"/>
      <x:c r="O1532" s="13"/>
      <x:c r="P1532" s="13"/>
    </x:row>
    <x:row r="1533">
      <x:c r="E1533" s="13"/>
      <x:c r="F1533" s="13"/>
      <x:c r="G1533" s="13"/>
      <x:c r="H1533" s="13"/>
      <x:c r="I1533" s="13"/>
      <x:c r="J1533" s="13"/>
      <x:c r="K1533" s="13"/>
      <x:c r="L1533" s="13"/>
      <x:c r="M1533" s="13"/>
      <x:c r="N1533" s="13"/>
      <x:c r="O1533" s="13"/>
      <x:c r="P1533" s="13"/>
    </x:row>
    <x:row r="1534">
      <x:c r="E1534" s="13"/>
      <x:c r="F1534" s="13"/>
      <x:c r="G1534" s="13"/>
      <x:c r="H1534" s="13"/>
      <x:c r="I1534" s="13"/>
      <x:c r="J1534" s="13"/>
      <x:c r="K1534" s="13"/>
      <x:c r="L1534" s="13"/>
      <x:c r="M1534" s="13"/>
      <x:c r="N1534" s="13"/>
      <x:c r="O1534" s="13"/>
      <x:c r="P1534" s="13"/>
    </x:row>
    <x:row r="1535">
      <x:c r="E1535" s="13"/>
      <x:c r="F1535" s="13"/>
      <x:c r="G1535" s="13"/>
      <x:c r="H1535" s="13"/>
      <x:c r="I1535" s="13"/>
      <x:c r="J1535" s="13"/>
      <x:c r="K1535" s="13"/>
      <x:c r="L1535" s="13"/>
      <x:c r="M1535" s="13"/>
      <x:c r="N1535" s="13"/>
      <x:c r="O1535" s="13"/>
      <x:c r="P1535" s="13"/>
    </x:row>
    <x:row r="1536">
      <x:c r="E1536" s="13"/>
      <x:c r="F1536" s="13"/>
      <x:c r="G1536" s="13"/>
      <x:c r="H1536" s="13"/>
      <x:c r="I1536" s="13"/>
      <x:c r="J1536" s="13"/>
      <x:c r="K1536" s="13"/>
      <x:c r="L1536" s="13"/>
      <x:c r="M1536" s="13"/>
      <x:c r="N1536" s="13"/>
      <x:c r="O1536" s="13"/>
      <x:c r="P1536" s="13"/>
    </x:row>
    <x:row r="1537">
      <x:c r="E1537" s="13"/>
      <x:c r="F1537" s="13"/>
      <x:c r="G1537" s="13"/>
      <x:c r="H1537" s="13"/>
      <x:c r="I1537" s="13"/>
      <x:c r="J1537" s="13"/>
      <x:c r="K1537" s="13"/>
      <x:c r="L1537" s="13"/>
      <x:c r="M1537" s="13"/>
      <x:c r="N1537" s="13"/>
      <x:c r="O1537" s="13"/>
      <x:c r="P1537" s="13"/>
    </x:row>
    <x:row r="1538">
      <x:c r="E1538" s="13"/>
      <x:c r="F1538" s="13"/>
      <x:c r="G1538" s="13"/>
      <x:c r="H1538" s="13"/>
      <x:c r="I1538" s="13"/>
      <x:c r="J1538" s="13"/>
      <x:c r="K1538" s="13"/>
      <x:c r="L1538" s="13"/>
      <x:c r="M1538" s="13"/>
      <x:c r="N1538" s="13"/>
      <x:c r="O1538" s="13"/>
      <x:c r="P1538" s="13"/>
    </x:row>
    <x:row r="1539">
      <x:c r="E1539" s="13"/>
      <x:c r="F1539" s="13"/>
      <x:c r="G1539" s="13"/>
      <x:c r="H1539" s="13"/>
      <x:c r="I1539" s="13"/>
      <x:c r="J1539" s="13"/>
      <x:c r="K1539" s="13"/>
      <x:c r="L1539" s="13"/>
      <x:c r="M1539" s="13"/>
      <x:c r="N1539" s="13"/>
      <x:c r="O1539" s="13"/>
      <x:c r="P1539" s="13"/>
    </x:row>
    <x:row r="1540">
      <x:c r="E1540" s="13"/>
      <x:c r="F1540" s="13"/>
      <x:c r="G1540" s="13"/>
      <x:c r="H1540" s="13"/>
      <x:c r="I1540" s="13"/>
      <x:c r="J1540" s="13"/>
      <x:c r="K1540" s="13"/>
      <x:c r="L1540" s="13"/>
      <x:c r="M1540" s="13"/>
      <x:c r="N1540" s="13"/>
      <x:c r="O1540" s="13"/>
      <x:c r="P1540" s="13"/>
    </x:row>
    <x:row r="1541">
      <x:c r="E1541" s="13"/>
      <x:c r="F1541" s="13"/>
      <x:c r="G1541" s="13"/>
      <x:c r="H1541" s="13"/>
      <x:c r="I1541" s="13"/>
      <x:c r="J1541" s="13"/>
      <x:c r="K1541" s="13"/>
      <x:c r="L1541" s="13"/>
      <x:c r="M1541" s="13"/>
      <x:c r="N1541" s="13"/>
      <x:c r="O1541" s="13"/>
      <x:c r="P1541" s="13"/>
    </x:row>
    <x:row r="1542">
      <x:c r="E1542" s="13"/>
      <x:c r="F1542" s="13"/>
      <x:c r="G1542" s="13"/>
      <x:c r="H1542" s="13"/>
      <x:c r="I1542" s="13"/>
      <x:c r="J1542" s="13"/>
      <x:c r="K1542" s="13"/>
      <x:c r="L1542" s="13"/>
      <x:c r="M1542" s="13"/>
      <x:c r="N1542" s="13"/>
      <x:c r="O1542" s="13"/>
      <x:c r="P1542" s="13"/>
    </x:row>
    <x:row r="1543">
      <x:c r="E1543" s="13"/>
      <x:c r="F1543" s="13"/>
      <x:c r="G1543" s="13"/>
      <x:c r="H1543" s="13"/>
      <x:c r="I1543" s="13"/>
      <x:c r="J1543" s="13"/>
      <x:c r="K1543" s="13"/>
      <x:c r="L1543" s="13"/>
      <x:c r="M1543" s="13"/>
      <x:c r="N1543" s="13"/>
      <x:c r="O1543" s="13"/>
      <x:c r="P1543" s="13"/>
    </x:row>
    <x:row r="1544">
      <x:c r="E1544" s="13"/>
      <x:c r="F1544" s="13"/>
      <x:c r="G1544" s="13"/>
      <x:c r="H1544" s="13"/>
      <x:c r="I1544" s="13"/>
      <x:c r="J1544" s="13"/>
      <x:c r="K1544" s="13"/>
      <x:c r="L1544" s="13"/>
      <x:c r="M1544" s="13"/>
      <x:c r="N1544" s="13"/>
      <x:c r="O1544" s="13"/>
      <x:c r="P1544" s="13"/>
    </x:row>
    <x:row r="1545">
      <x:c r="E1545" s="13"/>
      <x:c r="F1545" s="13"/>
      <x:c r="G1545" s="13"/>
      <x:c r="H1545" s="13"/>
      <x:c r="I1545" s="13"/>
      <x:c r="J1545" s="13"/>
      <x:c r="K1545" s="13"/>
      <x:c r="L1545" s="13"/>
      <x:c r="M1545" s="13"/>
      <x:c r="N1545" s="13"/>
      <x:c r="O1545" s="13"/>
      <x:c r="P1545" s="13"/>
    </x:row>
    <x:row r="1546">
      <x:c r="E1546" s="13"/>
      <x:c r="F1546" s="13"/>
      <x:c r="G1546" s="13"/>
      <x:c r="H1546" s="13"/>
      <x:c r="I1546" s="13"/>
      <x:c r="J1546" s="13"/>
      <x:c r="K1546" s="13"/>
      <x:c r="L1546" s="13"/>
      <x:c r="M1546" s="13"/>
      <x:c r="N1546" s="13"/>
      <x:c r="O1546" s="13"/>
      <x:c r="P1546" s="13"/>
    </x:row>
    <x:row r="1547">
      <x:c r="E1547" s="13"/>
      <x:c r="F1547" s="13"/>
      <x:c r="G1547" s="13"/>
      <x:c r="H1547" s="13"/>
      <x:c r="I1547" s="13"/>
      <x:c r="J1547" s="13"/>
      <x:c r="K1547" s="13"/>
      <x:c r="L1547" s="13"/>
      <x:c r="M1547" s="13"/>
      <x:c r="N1547" s="13"/>
      <x:c r="O1547" s="13"/>
      <x:c r="P1547" s="13"/>
    </x:row>
    <x:row r="1548">
      <x:c r="E1548" s="13"/>
      <x:c r="F1548" s="13"/>
      <x:c r="G1548" s="13"/>
      <x:c r="H1548" s="13"/>
      <x:c r="I1548" s="13"/>
      <x:c r="J1548" s="13"/>
      <x:c r="K1548" s="13"/>
      <x:c r="L1548" s="13"/>
      <x:c r="M1548" s="13"/>
      <x:c r="N1548" s="13"/>
      <x:c r="O1548" s="13"/>
      <x:c r="P1548" s="13"/>
    </x:row>
    <x:row r="1549">
      <x:c r="E1549" s="13"/>
      <x:c r="F1549" s="13"/>
      <x:c r="G1549" s="13"/>
      <x:c r="H1549" s="13"/>
      <x:c r="I1549" s="13"/>
      <x:c r="J1549" s="13"/>
      <x:c r="K1549" s="13"/>
      <x:c r="L1549" s="13"/>
      <x:c r="M1549" s="13"/>
      <x:c r="N1549" s="13"/>
      <x:c r="O1549" s="13"/>
      <x:c r="P1549" s="13"/>
    </x:row>
    <x:row r="1550">
      <x:c r="E1550" s="13"/>
      <x:c r="F1550" s="13"/>
      <x:c r="G1550" s="13"/>
      <x:c r="H1550" s="13"/>
      <x:c r="I1550" s="13"/>
      <x:c r="J1550" s="13"/>
      <x:c r="K1550" s="13"/>
      <x:c r="L1550" s="13"/>
      <x:c r="M1550" s="13"/>
      <x:c r="N1550" s="13"/>
      <x:c r="O1550" s="13"/>
      <x:c r="P1550" s="13"/>
    </x:row>
    <x:row r="1551">
      <x:c r="E1551" s="13"/>
      <x:c r="F1551" s="13"/>
      <x:c r="G1551" s="13"/>
      <x:c r="H1551" s="13"/>
      <x:c r="I1551" s="13"/>
      <x:c r="J1551" s="13"/>
      <x:c r="K1551" s="13"/>
      <x:c r="L1551" s="13"/>
      <x:c r="M1551" s="13"/>
      <x:c r="N1551" s="13"/>
      <x:c r="O1551" s="13"/>
      <x:c r="P1551" s="13"/>
    </x:row>
    <x:row r="1552">
      <x:c r="E1552" s="13"/>
      <x:c r="F1552" s="13"/>
      <x:c r="G1552" s="13"/>
      <x:c r="H1552" s="13"/>
      <x:c r="I1552" s="13"/>
      <x:c r="J1552" s="13"/>
      <x:c r="K1552" s="13"/>
      <x:c r="L1552" s="13"/>
      <x:c r="M1552" s="13"/>
      <x:c r="N1552" s="13"/>
      <x:c r="O1552" s="13"/>
      <x:c r="P1552" s="13"/>
    </x:row>
    <x:row r="1553">
      <x:c r="E1553" s="13"/>
      <x:c r="F1553" s="13"/>
      <x:c r="G1553" s="13"/>
      <x:c r="H1553" s="13"/>
      <x:c r="I1553" s="13"/>
      <x:c r="J1553" s="13"/>
      <x:c r="K1553" s="13"/>
      <x:c r="L1553" s="13"/>
      <x:c r="M1553" s="13"/>
      <x:c r="N1553" s="13"/>
      <x:c r="O1553" s="13"/>
      <x:c r="P1553" s="13"/>
    </x:row>
    <x:row r="1554">
      <x:c r="E1554" s="13"/>
      <x:c r="F1554" s="13"/>
      <x:c r="G1554" s="13"/>
      <x:c r="H1554" s="13"/>
      <x:c r="I1554" s="13"/>
      <x:c r="J1554" s="13"/>
      <x:c r="K1554" s="13"/>
      <x:c r="L1554" s="13"/>
      <x:c r="M1554" s="13"/>
      <x:c r="N1554" s="13"/>
      <x:c r="O1554" s="13"/>
      <x:c r="P1554" s="13"/>
    </x:row>
    <x:row r="1555">
      <x:c r="E1555" s="13"/>
      <x:c r="F1555" s="13"/>
      <x:c r="G1555" s="13"/>
      <x:c r="H1555" s="13"/>
      <x:c r="I1555" s="13"/>
      <x:c r="J1555" s="13"/>
      <x:c r="K1555" s="13"/>
      <x:c r="L1555" s="13"/>
      <x:c r="M1555" s="13"/>
      <x:c r="N1555" s="13"/>
      <x:c r="O1555" s="13"/>
      <x:c r="P1555" s="13"/>
    </x:row>
    <x:row r="1556">
      <x:c r="E1556" s="13"/>
      <x:c r="F1556" s="13"/>
      <x:c r="G1556" s="13"/>
      <x:c r="H1556" s="13"/>
      <x:c r="I1556" s="13"/>
      <x:c r="J1556" s="13"/>
      <x:c r="K1556" s="13"/>
      <x:c r="L1556" s="13"/>
      <x:c r="M1556" s="13"/>
      <x:c r="N1556" s="13"/>
      <x:c r="O1556" s="13"/>
      <x:c r="P1556" s="13"/>
    </x:row>
    <x:row r="1557">
      <x:c r="E1557" s="13"/>
      <x:c r="F1557" s="13"/>
      <x:c r="G1557" s="13"/>
      <x:c r="H1557" s="13"/>
      <x:c r="I1557" s="13"/>
      <x:c r="J1557" s="13"/>
      <x:c r="K1557" s="13"/>
      <x:c r="L1557" s="13"/>
      <x:c r="M1557" s="13"/>
      <x:c r="N1557" s="13"/>
      <x:c r="O1557" s="13"/>
      <x:c r="P1557" s="13"/>
    </x:row>
    <x:row r="1558">
      <x:c r="E1558" s="13"/>
      <x:c r="F1558" s="13"/>
      <x:c r="G1558" s="13"/>
      <x:c r="H1558" s="13"/>
      <x:c r="I1558" s="13"/>
      <x:c r="J1558" s="13"/>
      <x:c r="K1558" s="13"/>
      <x:c r="L1558" s="13"/>
      <x:c r="M1558" s="13"/>
      <x:c r="N1558" s="13"/>
      <x:c r="O1558" s="13"/>
      <x:c r="P1558" s="13"/>
    </x:row>
    <x:row r="1559">
      <x:c r="E1559" s="13"/>
      <x:c r="F1559" s="13"/>
      <x:c r="G1559" s="13"/>
      <x:c r="H1559" s="13"/>
      <x:c r="I1559" s="13"/>
      <x:c r="J1559" s="13"/>
      <x:c r="K1559" s="13"/>
      <x:c r="L1559" s="13"/>
      <x:c r="M1559" s="13"/>
      <x:c r="N1559" s="13"/>
      <x:c r="O1559" s="13"/>
      <x:c r="P1559" s="13"/>
    </x:row>
    <x:row r="1560">
      <x:c r="E1560" s="13"/>
      <x:c r="F1560" s="13"/>
      <x:c r="G1560" s="13"/>
      <x:c r="H1560" s="13"/>
      <x:c r="I1560" s="13"/>
      <x:c r="J1560" s="13"/>
      <x:c r="K1560" s="13"/>
      <x:c r="L1560" s="13"/>
      <x:c r="M1560" s="13"/>
      <x:c r="N1560" s="13"/>
      <x:c r="O1560" s="13"/>
      <x:c r="P1560" s="13"/>
    </x:row>
    <x:row r="1561">
      <x:c r="E1561" s="13"/>
      <x:c r="F1561" s="13"/>
      <x:c r="G1561" s="13"/>
      <x:c r="H1561" s="13"/>
      <x:c r="I1561" s="13"/>
      <x:c r="J1561" s="13"/>
      <x:c r="K1561" s="13"/>
      <x:c r="L1561" s="13"/>
      <x:c r="M1561" s="13"/>
      <x:c r="N1561" s="13"/>
      <x:c r="O1561" s="13"/>
      <x:c r="P1561" s="13"/>
    </x:row>
    <x:row r="1562">
      <x:c r="E1562" s="13"/>
      <x:c r="F1562" s="13"/>
      <x:c r="G1562" s="13"/>
      <x:c r="H1562" s="13"/>
      <x:c r="I1562" s="13"/>
      <x:c r="J1562" s="13"/>
      <x:c r="K1562" s="13"/>
      <x:c r="L1562" s="13"/>
      <x:c r="M1562" s="13"/>
      <x:c r="N1562" s="13"/>
      <x:c r="O1562" s="13"/>
      <x:c r="P1562" s="13"/>
    </x:row>
    <x:row r="1563">
      <x:c r="E1563" s="13"/>
      <x:c r="F1563" s="13"/>
      <x:c r="G1563" s="13"/>
      <x:c r="H1563" s="13"/>
      <x:c r="I1563" s="13"/>
      <x:c r="J1563" s="13"/>
      <x:c r="K1563" s="13"/>
      <x:c r="L1563" s="13"/>
      <x:c r="M1563" s="13"/>
      <x:c r="N1563" s="13"/>
      <x:c r="O1563" s="13"/>
      <x:c r="P1563" s="13"/>
    </x:row>
    <x:row r="1564">
      <x:c r="E1564" s="13"/>
      <x:c r="F1564" s="13"/>
      <x:c r="G1564" s="13"/>
      <x:c r="H1564" s="13"/>
      <x:c r="I1564" s="13"/>
      <x:c r="J1564" s="13"/>
      <x:c r="K1564" s="13"/>
      <x:c r="L1564" s="13"/>
      <x:c r="M1564" s="13"/>
      <x:c r="N1564" s="13"/>
      <x:c r="O1564" s="13"/>
      <x:c r="P1564" s="13"/>
    </x:row>
    <x:row r="1565">
      <x:c r="E1565" s="13"/>
      <x:c r="F1565" s="13"/>
      <x:c r="G1565" s="13"/>
      <x:c r="H1565" s="13"/>
      <x:c r="I1565" s="13"/>
      <x:c r="J1565" s="13"/>
      <x:c r="K1565" s="13"/>
      <x:c r="L1565" s="13"/>
      <x:c r="M1565" s="13"/>
      <x:c r="N1565" s="13"/>
      <x:c r="O1565" s="13"/>
      <x:c r="P1565" s="13"/>
    </x:row>
    <x:row r="1566">
      <x:c r="E1566" s="13"/>
      <x:c r="F1566" s="13"/>
      <x:c r="G1566" s="13"/>
      <x:c r="H1566" s="13"/>
      <x:c r="I1566" s="13"/>
      <x:c r="J1566" s="13"/>
      <x:c r="K1566" s="13"/>
      <x:c r="L1566" s="13"/>
      <x:c r="M1566" s="13"/>
      <x:c r="N1566" s="13"/>
      <x:c r="O1566" s="13"/>
      <x:c r="P1566" s="13"/>
    </x:row>
    <x:row r="1567">
      <x:c r="E1567" s="13"/>
      <x:c r="F1567" s="13"/>
      <x:c r="G1567" s="13"/>
      <x:c r="H1567" s="13"/>
      <x:c r="I1567" s="13"/>
      <x:c r="J1567" s="13"/>
      <x:c r="K1567" s="13"/>
      <x:c r="L1567" s="13"/>
      <x:c r="M1567" s="13"/>
      <x:c r="N1567" s="13"/>
      <x:c r="O1567" s="13"/>
      <x:c r="P1567" s="13"/>
    </x:row>
    <x:row r="1568">
      <x:c r="E1568" s="13"/>
      <x:c r="F1568" s="13"/>
      <x:c r="G1568" s="13"/>
      <x:c r="H1568" s="13"/>
      <x:c r="I1568" s="13"/>
      <x:c r="J1568" s="13"/>
      <x:c r="K1568" s="13"/>
      <x:c r="L1568" s="13"/>
      <x:c r="M1568" s="13"/>
      <x:c r="N1568" s="13"/>
      <x:c r="O1568" s="13"/>
      <x:c r="P1568" s="13"/>
    </x:row>
    <x:row r="1569">
      <x:c r="E1569" s="13"/>
      <x:c r="F1569" s="13"/>
      <x:c r="G1569" s="13"/>
      <x:c r="H1569" s="13"/>
      <x:c r="I1569" s="13"/>
      <x:c r="J1569" s="13"/>
      <x:c r="K1569" s="13"/>
      <x:c r="L1569" s="13"/>
      <x:c r="M1569" s="13"/>
      <x:c r="N1569" s="13"/>
      <x:c r="O1569" s="13"/>
      <x:c r="P1569" s="13"/>
    </x:row>
    <x:row r="1570">
      <x:c r="E1570" s="13"/>
      <x:c r="F1570" s="13"/>
      <x:c r="G1570" s="13"/>
      <x:c r="H1570" s="13"/>
      <x:c r="I1570" s="13"/>
      <x:c r="J1570" s="13"/>
      <x:c r="K1570" s="13"/>
      <x:c r="L1570" s="13"/>
      <x:c r="M1570" s="13"/>
      <x:c r="N1570" s="13"/>
      <x:c r="O1570" s="13"/>
      <x:c r="P1570" s="13"/>
    </x:row>
    <x:row r="1571">
      <x:c r="E1571" s="13"/>
      <x:c r="F1571" s="13"/>
      <x:c r="G1571" s="13"/>
      <x:c r="H1571" s="13"/>
      <x:c r="I1571" s="13"/>
      <x:c r="J1571" s="13"/>
      <x:c r="K1571" s="13"/>
      <x:c r="L1571" s="13"/>
      <x:c r="M1571" s="13"/>
      <x:c r="N1571" s="13"/>
      <x:c r="O1571" s="13"/>
      <x:c r="P1571" s="13"/>
    </x:row>
    <x:row r="1572">
      <x:c r="E1572" s="13"/>
      <x:c r="F1572" s="13"/>
      <x:c r="G1572" s="13"/>
      <x:c r="H1572" s="13"/>
      <x:c r="I1572" s="13"/>
      <x:c r="J1572" s="13"/>
      <x:c r="K1572" s="13"/>
      <x:c r="L1572" s="13"/>
      <x:c r="M1572" s="13"/>
      <x:c r="N1572" s="13"/>
      <x:c r="O1572" s="13"/>
      <x:c r="P1572" s="13"/>
    </x:row>
    <x:row r="1573">
      <x:c r="E1573" s="13"/>
      <x:c r="F1573" s="13"/>
      <x:c r="G1573" s="13"/>
      <x:c r="H1573" s="13"/>
      <x:c r="I1573" s="13"/>
      <x:c r="J1573" s="13"/>
      <x:c r="K1573" s="13"/>
      <x:c r="L1573" s="13"/>
      <x:c r="M1573" s="13"/>
      <x:c r="N1573" s="13"/>
      <x:c r="O1573" s="13"/>
      <x:c r="P1573" s="13"/>
    </x:row>
    <x:row r="1574">
      <x:c r="E1574" s="13"/>
      <x:c r="F1574" s="13"/>
      <x:c r="G1574" s="13"/>
      <x:c r="H1574" s="13"/>
      <x:c r="I1574" s="13"/>
      <x:c r="J1574" s="13"/>
      <x:c r="K1574" s="13"/>
      <x:c r="L1574" s="13"/>
      <x:c r="M1574" s="13"/>
      <x:c r="N1574" s="13"/>
      <x:c r="O1574" s="13"/>
      <x:c r="P1574" s="13"/>
    </x:row>
    <x:row r="1575">
      <x:c r="E1575" s="13"/>
      <x:c r="F1575" s="13"/>
      <x:c r="G1575" s="13"/>
      <x:c r="H1575" s="13"/>
      <x:c r="I1575" s="13"/>
      <x:c r="J1575" s="13"/>
      <x:c r="K1575" s="13"/>
      <x:c r="L1575" s="13"/>
      <x:c r="M1575" s="13"/>
      <x:c r="N1575" s="13"/>
      <x:c r="O1575" s="13"/>
      <x:c r="P1575" s="13"/>
    </x:row>
    <x:row r="1576">
      <x:c r="E1576" s="13"/>
      <x:c r="F1576" s="13"/>
      <x:c r="G1576" s="13"/>
      <x:c r="H1576" s="13"/>
      <x:c r="I1576" s="13"/>
      <x:c r="J1576" s="13"/>
      <x:c r="K1576" s="13"/>
      <x:c r="L1576" s="13"/>
      <x:c r="M1576" s="13"/>
      <x:c r="N1576" s="13"/>
      <x:c r="O1576" s="13"/>
      <x:c r="P1576" s="13"/>
    </x:row>
    <x:row r="1577">
      <x:c r="E1577" s="13"/>
      <x:c r="F1577" s="13"/>
      <x:c r="G1577" s="13"/>
      <x:c r="H1577" s="13"/>
      <x:c r="I1577" s="13"/>
      <x:c r="J1577" s="13"/>
      <x:c r="K1577" s="13"/>
      <x:c r="L1577" s="13"/>
      <x:c r="M1577" s="13"/>
      <x:c r="N1577" s="13"/>
      <x:c r="O1577" s="13"/>
      <x:c r="P1577" s="13"/>
    </x:row>
    <x:row r="1578">
      <x:c r="E1578" s="13"/>
      <x:c r="F1578" s="13"/>
      <x:c r="G1578" s="13"/>
      <x:c r="H1578" s="13"/>
      <x:c r="I1578" s="13"/>
      <x:c r="J1578" s="13"/>
      <x:c r="K1578" s="13"/>
      <x:c r="L1578" s="13"/>
      <x:c r="M1578" s="13"/>
      <x:c r="N1578" s="13"/>
      <x:c r="O1578" s="13"/>
      <x:c r="P1578" s="13"/>
    </x:row>
    <x:row r="1579">
      <x:c r="E1579" s="13"/>
      <x:c r="F1579" s="13"/>
      <x:c r="G1579" s="13"/>
      <x:c r="H1579" s="13"/>
      <x:c r="I1579" s="13"/>
      <x:c r="J1579" s="13"/>
      <x:c r="K1579" s="13"/>
      <x:c r="L1579" s="13"/>
      <x:c r="M1579" s="13"/>
      <x:c r="N1579" s="13"/>
      <x:c r="O1579" s="13"/>
      <x:c r="P1579" s="13"/>
    </x:row>
    <x:row r="1580">
      <x:c r="E1580" s="13"/>
      <x:c r="F1580" s="13"/>
      <x:c r="G1580" s="13"/>
      <x:c r="H1580" s="13"/>
      <x:c r="I1580" s="13"/>
      <x:c r="J1580" s="13"/>
      <x:c r="K1580" s="13"/>
      <x:c r="L1580" s="13"/>
      <x:c r="M1580" s="13"/>
      <x:c r="N1580" s="13"/>
      <x:c r="O1580" s="13"/>
      <x:c r="P1580" s="13"/>
    </x:row>
    <x:row r="1581">
      <x:c r="E1581" s="13"/>
      <x:c r="F1581" s="13"/>
      <x:c r="G1581" s="13"/>
      <x:c r="H1581" s="13"/>
      <x:c r="I1581" s="13"/>
      <x:c r="J1581" s="13"/>
      <x:c r="K1581" s="13"/>
      <x:c r="L1581" s="13"/>
      <x:c r="M1581" s="13"/>
      <x:c r="N1581" s="13"/>
      <x:c r="O1581" s="13"/>
      <x:c r="P1581" s="13"/>
    </x:row>
    <x:row r="1582">
      <x:c r="E1582" s="13"/>
      <x:c r="F1582" s="13"/>
      <x:c r="G1582" s="13"/>
      <x:c r="H1582" s="13"/>
      <x:c r="I1582" s="13"/>
      <x:c r="J1582" s="13"/>
      <x:c r="K1582" s="13"/>
      <x:c r="L1582" s="13"/>
      <x:c r="M1582" s="13"/>
      <x:c r="N1582" s="13"/>
      <x:c r="O1582" s="13"/>
      <x:c r="P1582" s="13"/>
    </x:row>
    <x:row r="1583">
      <x:c r="E1583" s="13"/>
      <x:c r="F1583" s="13"/>
      <x:c r="G1583" s="13"/>
      <x:c r="H1583" s="13"/>
      <x:c r="I1583" s="13"/>
      <x:c r="J1583" s="13"/>
      <x:c r="K1583" s="13"/>
      <x:c r="L1583" s="13"/>
      <x:c r="M1583" s="13"/>
      <x:c r="N1583" s="13"/>
      <x:c r="O1583" s="13"/>
      <x:c r="P1583" s="13"/>
    </x:row>
    <x:row r="1584">
      <x:c r="E1584" s="13"/>
      <x:c r="F1584" s="13"/>
      <x:c r="G1584" s="13"/>
      <x:c r="H1584" s="13"/>
      <x:c r="I1584" s="13"/>
      <x:c r="J1584" s="13"/>
      <x:c r="K1584" s="13"/>
      <x:c r="L1584" s="13"/>
      <x:c r="M1584" s="13"/>
      <x:c r="N1584" s="13"/>
      <x:c r="O1584" s="13"/>
      <x:c r="P1584" s="13"/>
    </x:row>
    <x:row r="1585">
      <x:c r="E1585" s="13"/>
      <x:c r="F1585" s="13"/>
      <x:c r="G1585" s="13"/>
      <x:c r="H1585" s="13"/>
      <x:c r="I1585" s="13"/>
      <x:c r="J1585" s="13"/>
      <x:c r="K1585" s="13"/>
      <x:c r="L1585" s="13"/>
      <x:c r="M1585" s="13"/>
      <x:c r="N1585" s="13"/>
      <x:c r="O1585" s="13"/>
      <x:c r="P1585" s="13"/>
    </x:row>
    <x:row r="1586">
      <x:c r="E1586" s="13"/>
      <x:c r="F1586" s="13"/>
      <x:c r="G1586" s="13"/>
      <x:c r="H1586" s="13"/>
      <x:c r="I1586" s="13"/>
      <x:c r="J1586" s="13"/>
      <x:c r="K1586" s="13"/>
      <x:c r="L1586" s="13"/>
      <x:c r="M1586" s="13"/>
      <x:c r="N1586" s="13"/>
      <x:c r="O1586" s="13"/>
      <x:c r="P1586" s="13"/>
    </x:row>
    <x:row r="1587">
      <x:c r="E1587" s="13"/>
      <x:c r="F1587" s="13"/>
      <x:c r="G1587" s="13"/>
      <x:c r="H1587" s="13"/>
      <x:c r="I1587" s="13"/>
      <x:c r="J1587" s="13"/>
      <x:c r="K1587" s="13"/>
      <x:c r="L1587" s="13"/>
      <x:c r="M1587" s="13"/>
      <x:c r="N1587" s="13"/>
      <x:c r="O1587" s="13"/>
      <x:c r="P1587" s="13"/>
    </x:row>
    <x:row r="1588">
      <x:c r="E1588" s="13"/>
      <x:c r="F1588" s="13"/>
      <x:c r="G1588" s="13"/>
      <x:c r="H1588" s="13"/>
      <x:c r="I1588" s="13"/>
      <x:c r="J1588" s="13"/>
      <x:c r="K1588" s="13"/>
      <x:c r="L1588" s="13"/>
      <x:c r="M1588" s="13"/>
      <x:c r="N1588" s="13"/>
      <x:c r="O1588" s="13"/>
      <x:c r="P1588" s="13"/>
    </x:row>
    <x:row r="1589">
      <x:c r="E1589" s="13"/>
      <x:c r="F1589" s="13"/>
      <x:c r="G1589" s="13"/>
      <x:c r="H1589" s="13"/>
      <x:c r="I1589" s="13"/>
      <x:c r="J1589" s="13"/>
      <x:c r="K1589" s="13"/>
      <x:c r="L1589" s="13"/>
      <x:c r="M1589" s="13"/>
      <x:c r="N1589" s="13"/>
      <x:c r="O1589" s="13"/>
      <x:c r="P1589" s="13"/>
    </x:row>
    <x:row r="1590">
      <x:c r="E1590" s="13"/>
      <x:c r="F1590" s="13"/>
      <x:c r="G1590" s="13"/>
      <x:c r="H1590" s="13"/>
      <x:c r="I1590" s="13"/>
      <x:c r="J1590" s="13"/>
      <x:c r="K1590" s="13"/>
      <x:c r="L1590" s="13"/>
      <x:c r="M1590" s="13"/>
      <x:c r="N1590" s="13"/>
      <x:c r="O1590" s="13"/>
      <x:c r="P1590" s="13"/>
    </x:row>
    <x:row r="1591">
      <x:c r="E1591" s="13"/>
      <x:c r="F1591" s="13"/>
      <x:c r="G1591" s="13"/>
      <x:c r="H1591" s="13"/>
      <x:c r="I1591" s="13"/>
      <x:c r="J1591" s="13"/>
      <x:c r="K1591" s="13"/>
      <x:c r="L1591" s="13"/>
      <x:c r="M1591" s="13"/>
      <x:c r="N1591" s="13"/>
      <x:c r="O1591" s="13"/>
      <x:c r="P1591" s="13"/>
    </x:row>
    <x:row r="1592">
      <x:c r="E1592" s="13"/>
      <x:c r="F1592" s="13"/>
      <x:c r="G1592" s="13"/>
      <x:c r="H1592" s="13"/>
      <x:c r="I1592" s="13"/>
      <x:c r="J1592" s="13"/>
      <x:c r="K1592" s="13"/>
      <x:c r="L1592" s="13"/>
      <x:c r="M1592" s="13"/>
      <x:c r="N1592" s="13"/>
      <x:c r="O1592" s="13"/>
      <x:c r="P1592" s="13"/>
    </x:row>
    <x:row r="1593">
      <x:c r="E1593" s="13"/>
      <x:c r="F1593" s="13"/>
      <x:c r="G1593" s="13"/>
      <x:c r="H1593" s="13"/>
      <x:c r="I1593" s="13"/>
      <x:c r="J1593" s="13"/>
      <x:c r="K1593" s="13"/>
      <x:c r="L1593" s="13"/>
      <x:c r="M1593" s="13"/>
      <x:c r="N1593" s="13"/>
      <x:c r="O1593" s="13"/>
      <x:c r="P1593" s="13"/>
    </x:row>
    <x:row r="1594">
      <x:c r="E1594" s="13"/>
      <x:c r="F1594" s="13"/>
      <x:c r="G1594" s="13"/>
      <x:c r="H1594" s="13"/>
      <x:c r="I1594" s="13"/>
      <x:c r="J1594" s="13"/>
      <x:c r="K1594" s="13"/>
      <x:c r="L1594" s="13"/>
      <x:c r="M1594" s="13"/>
      <x:c r="N1594" s="13"/>
      <x:c r="O1594" s="13"/>
      <x:c r="P1594" s="13"/>
    </x:row>
    <x:row r="1595">
      <x:c r="E1595" s="13"/>
      <x:c r="F1595" s="13"/>
      <x:c r="G1595" s="13"/>
      <x:c r="H1595" s="13"/>
      <x:c r="I1595" s="13"/>
      <x:c r="J1595" s="13"/>
      <x:c r="K1595" s="13"/>
      <x:c r="L1595" s="13"/>
      <x:c r="M1595" s="13"/>
      <x:c r="N1595" s="13"/>
      <x:c r="O1595" s="13"/>
      <x:c r="P1595" s="13"/>
    </x:row>
    <x:row r="1596">
      <x:c r="E1596" s="13"/>
      <x:c r="F1596" s="13"/>
      <x:c r="G1596" s="13"/>
      <x:c r="H1596" s="13"/>
      <x:c r="I1596" s="13"/>
      <x:c r="J1596" s="13"/>
      <x:c r="K1596" s="13"/>
      <x:c r="L1596" s="13"/>
      <x:c r="M1596" s="13"/>
      <x:c r="N1596" s="13"/>
      <x:c r="O1596" s="13"/>
      <x:c r="P1596" s="13"/>
    </x:row>
    <x:row r="1597">
      <x:c r="E1597" s="13"/>
      <x:c r="F1597" s="13"/>
      <x:c r="G1597" s="13"/>
      <x:c r="H1597" s="13"/>
      <x:c r="I1597" s="13"/>
      <x:c r="J1597" s="13"/>
      <x:c r="K1597" s="13"/>
      <x:c r="L1597" s="13"/>
      <x:c r="M1597" s="13"/>
      <x:c r="N1597" s="13"/>
      <x:c r="O1597" s="13"/>
      <x:c r="P1597" s="13"/>
    </x:row>
    <x:row r="1598">
      <x:c r="E1598" s="13"/>
      <x:c r="F1598" s="13"/>
      <x:c r="G1598" s="13"/>
      <x:c r="H1598" s="13"/>
      <x:c r="I1598" s="13"/>
      <x:c r="J1598" s="13"/>
      <x:c r="K1598" s="13"/>
      <x:c r="L1598" s="13"/>
      <x:c r="M1598" s="13"/>
      <x:c r="N1598" s="13"/>
      <x:c r="O1598" s="13"/>
      <x:c r="P1598" s="13"/>
    </x:row>
    <x:row r="1599">
      <x:c r="E1599" s="13"/>
      <x:c r="F1599" s="13"/>
      <x:c r="G1599" s="13"/>
      <x:c r="H1599" s="13"/>
      <x:c r="I1599" s="13"/>
      <x:c r="J1599" s="13"/>
      <x:c r="K1599" s="13"/>
      <x:c r="L1599" s="13"/>
      <x:c r="M1599" s="13"/>
      <x:c r="N1599" s="13"/>
      <x:c r="O1599" s="13"/>
      <x:c r="P1599" s="13"/>
    </x:row>
    <x:row r="1600">
      <x:c r="E1600" s="13"/>
      <x:c r="F1600" s="13"/>
      <x:c r="G1600" s="13"/>
      <x:c r="H1600" s="13"/>
      <x:c r="I1600" s="13"/>
      <x:c r="J1600" s="13"/>
      <x:c r="K1600" s="13"/>
      <x:c r="L1600" s="13"/>
      <x:c r="M1600" s="13"/>
      <x:c r="N1600" s="13"/>
      <x:c r="O1600" s="13"/>
      <x:c r="P1600" s="13"/>
    </x:row>
    <x:row r="1601">
      <x:c r="E1601" s="13"/>
      <x:c r="F1601" s="13"/>
      <x:c r="G1601" s="13"/>
      <x:c r="H1601" s="13"/>
      <x:c r="I1601" s="13"/>
      <x:c r="J1601" s="13"/>
      <x:c r="K1601" s="13"/>
      <x:c r="L1601" s="13"/>
      <x:c r="M1601" s="13"/>
      <x:c r="N1601" s="13"/>
      <x:c r="O1601" s="13"/>
      <x:c r="P1601" s="13"/>
    </x:row>
    <x:row r="1602">
      <x:c r="E1602" s="13"/>
      <x:c r="F1602" s="13"/>
      <x:c r="G1602" s="13"/>
      <x:c r="H1602" s="13"/>
      <x:c r="I1602" s="13"/>
      <x:c r="J1602" s="13"/>
      <x:c r="K1602" s="13"/>
      <x:c r="L1602" s="13"/>
      <x:c r="M1602" s="13"/>
      <x:c r="N1602" s="13"/>
      <x:c r="O1602" s="13"/>
      <x:c r="P1602" s="13"/>
    </x:row>
    <x:row r="1603">
      <x:c r="E1603" s="13"/>
      <x:c r="F1603" s="13"/>
      <x:c r="G1603" s="13"/>
      <x:c r="H1603" s="13"/>
      <x:c r="I1603" s="13"/>
      <x:c r="J1603" s="13"/>
      <x:c r="K1603" s="13"/>
      <x:c r="L1603" s="13"/>
      <x:c r="M1603" s="13"/>
      <x:c r="N1603" s="13"/>
      <x:c r="O1603" s="13"/>
      <x:c r="P1603" s="13"/>
    </x:row>
    <x:row r="1604">
      <x:c r="E1604" s="13"/>
      <x:c r="F1604" s="13"/>
      <x:c r="G1604" s="13"/>
      <x:c r="H1604" s="13"/>
      <x:c r="I1604" s="13"/>
      <x:c r="J1604" s="13"/>
      <x:c r="K1604" s="13"/>
      <x:c r="L1604" s="13"/>
      <x:c r="M1604" s="13"/>
      <x:c r="N1604" s="13"/>
      <x:c r="O1604" s="13"/>
      <x:c r="P1604" s="13"/>
    </x:row>
    <x:row r="1605">
      <x:c r="E1605" s="13"/>
      <x:c r="F1605" s="13"/>
      <x:c r="G1605" s="13"/>
      <x:c r="H1605" s="13"/>
      <x:c r="I1605" s="13"/>
      <x:c r="J1605" s="13"/>
      <x:c r="K1605" s="13"/>
      <x:c r="L1605" s="13"/>
      <x:c r="M1605" s="13"/>
      <x:c r="N1605" s="13"/>
      <x:c r="O1605" s="13"/>
      <x:c r="P1605" s="13"/>
    </x:row>
    <x:row r="1606">
      <x:c r="E1606" s="13"/>
      <x:c r="F1606" s="13"/>
      <x:c r="G1606" s="13"/>
      <x:c r="H1606" s="13"/>
      <x:c r="I1606" s="13"/>
      <x:c r="J1606" s="13"/>
      <x:c r="K1606" s="13"/>
      <x:c r="L1606" s="13"/>
      <x:c r="M1606" s="13"/>
      <x:c r="N1606" s="13"/>
      <x:c r="O1606" s="13"/>
      <x:c r="P1606" s="13"/>
    </x:row>
    <x:row r="1607">
      <x:c r="E1607" s="13"/>
      <x:c r="F1607" s="13"/>
      <x:c r="G1607" s="13"/>
      <x:c r="H1607" s="13"/>
      <x:c r="I1607" s="13"/>
      <x:c r="J1607" s="13"/>
      <x:c r="K1607" s="13"/>
      <x:c r="L1607" s="13"/>
      <x:c r="M1607" s="13"/>
      <x:c r="N1607" s="13"/>
      <x:c r="O1607" s="13"/>
      <x:c r="P1607" s="13"/>
    </x:row>
    <x:row r="1608">
      <x:c r="E1608" s="13"/>
      <x:c r="F1608" s="13"/>
      <x:c r="G1608" s="13"/>
      <x:c r="H1608" s="13"/>
      <x:c r="I1608" s="13"/>
      <x:c r="J1608" s="13"/>
      <x:c r="K1608" s="13"/>
      <x:c r="L1608" s="13"/>
      <x:c r="M1608" s="13"/>
      <x:c r="N1608" s="13"/>
      <x:c r="O1608" s="13"/>
      <x:c r="P1608" s="13"/>
    </x:row>
    <x:row r="1609">
      <x:c r="E1609" s="13"/>
      <x:c r="F1609" s="13"/>
      <x:c r="G1609" s="13"/>
      <x:c r="H1609" s="13"/>
      <x:c r="I1609" s="13"/>
      <x:c r="J1609" s="13"/>
      <x:c r="K1609" s="13"/>
      <x:c r="L1609" s="13"/>
      <x:c r="M1609" s="13"/>
      <x:c r="N1609" s="13"/>
      <x:c r="O1609" s="13"/>
      <x:c r="P1609" s="13"/>
    </x:row>
    <x:row r="1610">
      <x:c r="E1610" s="13"/>
      <x:c r="F1610" s="13"/>
      <x:c r="G1610" s="13"/>
      <x:c r="H1610" s="13"/>
      <x:c r="I1610" s="13"/>
      <x:c r="J1610" s="13"/>
      <x:c r="K1610" s="13"/>
      <x:c r="L1610" s="13"/>
      <x:c r="M1610" s="13"/>
      <x:c r="N1610" s="13"/>
      <x:c r="O1610" s="13"/>
      <x:c r="P1610" s="13"/>
    </x:row>
    <x:row r="1611">
      <x:c r="E1611" s="13"/>
      <x:c r="F1611" s="13"/>
      <x:c r="G1611" s="13"/>
      <x:c r="H1611" s="13"/>
      <x:c r="I1611" s="13"/>
      <x:c r="J1611" s="13"/>
      <x:c r="K1611" s="13"/>
      <x:c r="L1611" s="13"/>
      <x:c r="M1611" s="13"/>
      <x:c r="N1611" s="13"/>
      <x:c r="O1611" s="13"/>
      <x:c r="P1611" s="13"/>
    </x:row>
    <x:row r="1612">
      <x:c r="E1612" s="13"/>
      <x:c r="F1612" s="13"/>
      <x:c r="G1612" s="13"/>
      <x:c r="H1612" s="13"/>
      <x:c r="I1612" s="13"/>
      <x:c r="J1612" s="13"/>
      <x:c r="K1612" s="13"/>
      <x:c r="L1612" s="13"/>
      <x:c r="M1612" s="13"/>
      <x:c r="N1612" s="13"/>
      <x:c r="O1612" s="13"/>
      <x:c r="P1612" s="13"/>
    </x:row>
    <x:row r="1613">
      <x:c r="E1613" s="13"/>
      <x:c r="F1613" s="13"/>
      <x:c r="G1613" s="13"/>
      <x:c r="H1613" s="13"/>
      <x:c r="I1613" s="13"/>
      <x:c r="J1613" s="13"/>
      <x:c r="K1613" s="13"/>
      <x:c r="L1613" s="13"/>
      <x:c r="M1613" s="13"/>
      <x:c r="N1613" s="13"/>
      <x:c r="O1613" s="13"/>
      <x:c r="P1613" s="13"/>
    </x:row>
    <x:row r="1614">
      <x:c r="E1614" s="13"/>
      <x:c r="F1614" s="13"/>
      <x:c r="G1614" s="13"/>
      <x:c r="H1614" s="13"/>
      <x:c r="I1614" s="13"/>
      <x:c r="J1614" s="13"/>
      <x:c r="K1614" s="13"/>
      <x:c r="L1614" s="13"/>
      <x:c r="M1614" s="13"/>
      <x:c r="N1614" s="13"/>
      <x:c r="O1614" s="13"/>
      <x:c r="P1614" s="13"/>
    </x:row>
    <x:row r="1615">
      <x:c r="E1615" s="13"/>
      <x:c r="F1615" s="13"/>
      <x:c r="G1615" s="13"/>
      <x:c r="H1615" s="13"/>
      <x:c r="I1615" s="13"/>
      <x:c r="J1615" s="13"/>
      <x:c r="K1615" s="13"/>
      <x:c r="L1615" s="13"/>
      <x:c r="M1615" s="13"/>
      <x:c r="N1615" s="13"/>
      <x:c r="O1615" s="13"/>
      <x:c r="P1615" s="13"/>
    </x:row>
    <x:row r="1616">
      <x:c r="E1616" s="13"/>
      <x:c r="F1616" s="13"/>
      <x:c r="G1616" s="13"/>
      <x:c r="H1616" s="13"/>
      <x:c r="I1616" s="13"/>
      <x:c r="J1616" s="13"/>
      <x:c r="K1616" s="13"/>
      <x:c r="L1616" s="13"/>
      <x:c r="M1616" s="13"/>
      <x:c r="N1616" s="13"/>
      <x:c r="O1616" s="13"/>
      <x:c r="P1616" s="13"/>
    </x:row>
    <x:row r="1617">
      <x:c r="E1617" s="13"/>
      <x:c r="F1617" s="13"/>
      <x:c r="G1617" s="13"/>
      <x:c r="H1617" s="13"/>
      <x:c r="I1617" s="13"/>
      <x:c r="J1617" s="13"/>
      <x:c r="K1617" s="13"/>
      <x:c r="L1617" s="13"/>
      <x:c r="M1617" s="13"/>
      <x:c r="N1617" s="13"/>
      <x:c r="O1617" s="13"/>
      <x:c r="P1617" s="13"/>
    </x:row>
    <x:row r="1618">
      <x:c r="E1618" s="13"/>
      <x:c r="F1618" s="13"/>
      <x:c r="G1618" s="13"/>
      <x:c r="H1618" s="13"/>
      <x:c r="I1618" s="13"/>
      <x:c r="J1618" s="13"/>
      <x:c r="K1618" s="13"/>
      <x:c r="L1618" s="13"/>
      <x:c r="M1618" s="13"/>
      <x:c r="N1618" s="13"/>
      <x:c r="O1618" s="13"/>
      <x:c r="P1618" s="13"/>
    </x:row>
    <x:row r="1619">
      <x:c r="E1619" s="13"/>
      <x:c r="F1619" s="13"/>
      <x:c r="G1619" s="13"/>
      <x:c r="H1619" s="13"/>
      <x:c r="I1619" s="13"/>
      <x:c r="J1619" s="13"/>
      <x:c r="K1619" s="13"/>
      <x:c r="L1619" s="13"/>
      <x:c r="M1619" s="13"/>
      <x:c r="N1619" s="13"/>
      <x:c r="O1619" s="13"/>
      <x:c r="P1619" s="13"/>
    </x:row>
    <x:row r="1620">
      <x:c r="E1620" s="13"/>
      <x:c r="F1620" s="13"/>
      <x:c r="G1620" s="13"/>
      <x:c r="H1620" s="13"/>
      <x:c r="I1620" s="13"/>
      <x:c r="J1620" s="13"/>
      <x:c r="K1620" s="13"/>
      <x:c r="L1620" s="13"/>
      <x:c r="M1620" s="13"/>
      <x:c r="N1620" s="13"/>
      <x:c r="O1620" s="13"/>
      <x:c r="P1620" s="13"/>
    </x:row>
    <x:row r="1621">
      <x:c r="E1621" s="13"/>
      <x:c r="F1621" s="13"/>
      <x:c r="G1621" s="13"/>
      <x:c r="H1621" s="13"/>
      <x:c r="I1621" s="13"/>
      <x:c r="J1621" s="13"/>
      <x:c r="K1621" s="13"/>
      <x:c r="L1621" s="13"/>
      <x:c r="M1621" s="13"/>
      <x:c r="N1621" s="13"/>
      <x:c r="O1621" s="13"/>
      <x:c r="P1621" s="13"/>
    </x:row>
    <x:row r="1622">
      <x:c r="E1622" s="13"/>
      <x:c r="F1622" s="13"/>
      <x:c r="G1622" s="13"/>
      <x:c r="H1622" s="13"/>
      <x:c r="I1622" s="13"/>
      <x:c r="J1622" s="13"/>
      <x:c r="K1622" s="13"/>
      <x:c r="L1622" s="13"/>
      <x:c r="M1622" s="13"/>
      <x:c r="N1622" s="13"/>
      <x:c r="O1622" s="13"/>
      <x:c r="P1622" s="13"/>
    </x:row>
    <x:row r="1623">
      <x:c r="E1623" s="13"/>
      <x:c r="F1623" s="13"/>
      <x:c r="G1623" s="13"/>
      <x:c r="H1623" s="13"/>
      <x:c r="I1623" s="13"/>
      <x:c r="J1623" s="13"/>
      <x:c r="K1623" s="13"/>
      <x:c r="L1623" s="13"/>
      <x:c r="M1623" s="13"/>
      <x:c r="N1623" s="13"/>
      <x:c r="O1623" s="13"/>
      <x:c r="P1623" s="13"/>
    </x:row>
    <x:row r="1624">
      <x:c r="E1624" s="13"/>
      <x:c r="F1624" s="13"/>
      <x:c r="G1624" s="13"/>
      <x:c r="H1624" s="13"/>
      <x:c r="I1624" s="13"/>
      <x:c r="J1624" s="13"/>
      <x:c r="K1624" s="13"/>
      <x:c r="L1624" s="13"/>
      <x:c r="M1624" s="13"/>
      <x:c r="N1624" s="13"/>
      <x:c r="O1624" s="13"/>
      <x:c r="P1624" s="13"/>
    </x:row>
    <x:row r="1625">
      <x:c r="E1625" s="13"/>
      <x:c r="F1625" s="13"/>
      <x:c r="G1625" s="13"/>
      <x:c r="H1625" s="13"/>
      <x:c r="I1625" s="13"/>
      <x:c r="J1625" s="13"/>
      <x:c r="K1625" s="13"/>
      <x:c r="L1625" s="13"/>
      <x:c r="M1625" s="13"/>
      <x:c r="N1625" s="13"/>
      <x:c r="O1625" s="13"/>
      <x:c r="P1625" s="13"/>
    </x:row>
    <x:row r="1626">
      <x:c r="E1626" s="13"/>
      <x:c r="F1626" s="13"/>
      <x:c r="G1626" s="13"/>
      <x:c r="H1626" s="13"/>
      <x:c r="I1626" s="13"/>
      <x:c r="J1626" s="13"/>
      <x:c r="K1626" s="13"/>
      <x:c r="L1626" s="13"/>
      <x:c r="M1626" s="13"/>
      <x:c r="N1626" s="13"/>
      <x:c r="O1626" s="13"/>
      <x:c r="P1626" s="13"/>
    </x:row>
    <x:row r="1627">
      <x:c r="E1627" s="13"/>
      <x:c r="F1627" s="13"/>
      <x:c r="G1627" s="13"/>
      <x:c r="H1627" s="13"/>
      <x:c r="I1627" s="13"/>
      <x:c r="J1627" s="13"/>
      <x:c r="K1627" s="13"/>
      <x:c r="L1627" s="13"/>
      <x:c r="M1627" s="13"/>
      <x:c r="N1627" s="13"/>
      <x:c r="O1627" s="13"/>
      <x:c r="P1627" s="13"/>
    </x:row>
    <x:row r="1628">
      <x:c r="E1628" s="13"/>
      <x:c r="F1628" s="13"/>
      <x:c r="G1628" s="13"/>
      <x:c r="H1628" s="13"/>
      <x:c r="I1628" s="13"/>
      <x:c r="J1628" s="13"/>
      <x:c r="K1628" s="13"/>
      <x:c r="L1628" s="13"/>
      <x:c r="M1628" s="13"/>
      <x:c r="N1628" s="13"/>
      <x:c r="O1628" s="13"/>
      <x:c r="P1628" s="13"/>
    </x:row>
    <x:row r="1629">
      <x:c r="E1629" s="13"/>
      <x:c r="F1629" s="13"/>
      <x:c r="G1629" s="13"/>
      <x:c r="H1629" s="13"/>
      <x:c r="I1629" s="13"/>
      <x:c r="J1629" s="13"/>
      <x:c r="K1629" s="13"/>
      <x:c r="L1629" s="13"/>
      <x:c r="M1629" s="13"/>
      <x:c r="N1629" s="13"/>
      <x:c r="O1629" s="13"/>
      <x:c r="P1629" s="13"/>
    </x:row>
    <x:row r="1630">
      <x:c r="E1630" s="13"/>
      <x:c r="F1630" s="13"/>
      <x:c r="G1630" s="13"/>
      <x:c r="H1630" s="13"/>
      <x:c r="I1630" s="13"/>
      <x:c r="J1630" s="13"/>
      <x:c r="K1630" s="13"/>
      <x:c r="L1630" s="13"/>
      <x:c r="M1630" s="13"/>
      <x:c r="N1630" s="13"/>
      <x:c r="O1630" s="13"/>
      <x:c r="P1630" s="13"/>
    </x:row>
    <x:row r="1631">
      <x:c r="E1631" s="13"/>
      <x:c r="F1631" s="13"/>
      <x:c r="G1631" s="13"/>
      <x:c r="H1631" s="13"/>
      <x:c r="I1631" s="13"/>
      <x:c r="J1631" s="13"/>
      <x:c r="K1631" s="13"/>
      <x:c r="L1631" s="13"/>
      <x:c r="M1631" s="13"/>
      <x:c r="N1631" s="13"/>
      <x:c r="O1631" s="13"/>
      <x:c r="P1631" s="13"/>
    </x:row>
    <x:row r="1632">
      <x:c r="E1632" s="13"/>
      <x:c r="F1632" s="13"/>
      <x:c r="G1632" s="13"/>
      <x:c r="H1632" s="13"/>
      <x:c r="I1632" s="13"/>
      <x:c r="J1632" s="13"/>
      <x:c r="K1632" s="13"/>
      <x:c r="L1632" s="13"/>
      <x:c r="M1632" s="13"/>
      <x:c r="N1632" s="13"/>
      <x:c r="O1632" s="13"/>
      <x:c r="P1632" s="13"/>
    </x:row>
    <x:row r="1633">
      <x:c r="E1633" s="13"/>
      <x:c r="F1633" s="13"/>
      <x:c r="G1633" s="13"/>
      <x:c r="H1633" s="13"/>
      <x:c r="I1633" s="13"/>
      <x:c r="J1633" s="13"/>
      <x:c r="K1633" s="13"/>
      <x:c r="L1633" s="13"/>
      <x:c r="M1633" s="13"/>
      <x:c r="N1633" s="13"/>
      <x:c r="O1633" s="13"/>
      <x:c r="P1633" s="13"/>
    </x:row>
    <x:row r="1634">
      <x:c r="E1634" s="13"/>
      <x:c r="F1634" s="13"/>
      <x:c r="G1634" s="13"/>
      <x:c r="H1634" s="13"/>
      <x:c r="I1634" s="13"/>
      <x:c r="J1634" s="13"/>
      <x:c r="K1634" s="13"/>
      <x:c r="L1634" s="13"/>
      <x:c r="M1634" s="13"/>
      <x:c r="N1634" s="13"/>
      <x:c r="O1634" s="13"/>
      <x:c r="P1634" s="13"/>
    </x:row>
    <x:row r="1635">
      <x:c r="E1635" s="13"/>
      <x:c r="F1635" s="13"/>
      <x:c r="G1635" s="13"/>
      <x:c r="H1635" s="13"/>
      <x:c r="I1635" s="13"/>
      <x:c r="J1635" s="13"/>
      <x:c r="K1635" s="13"/>
      <x:c r="L1635" s="13"/>
      <x:c r="M1635" s="13"/>
      <x:c r="N1635" s="13"/>
      <x:c r="O1635" s="13"/>
      <x:c r="P1635" s="13"/>
    </x:row>
    <x:row r="1636">
      <x:c r="E1636" s="13"/>
      <x:c r="F1636" s="13"/>
      <x:c r="G1636" s="13"/>
      <x:c r="H1636" s="13"/>
      <x:c r="I1636" s="13"/>
      <x:c r="J1636" s="13"/>
      <x:c r="K1636" s="13"/>
      <x:c r="L1636" s="13"/>
      <x:c r="M1636" s="13"/>
      <x:c r="N1636" s="13"/>
      <x:c r="O1636" s="13"/>
      <x:c r="P1636" s="13"/>
    </x:row>
    <x:row r="1637">
      <x:c r="E1637" s="13"/>
      <x:c r="F1637" s="13"/>
      <x:c r="G1637" s="13"/>
      <x:c r="H1637" s="13"/>
      <x:c r="I1637" s="13"/>
      <x:c r="J1637" s="13"/>
      <x:c r="K1637" s="13"/>
      <x:c r="L1637" s="13"/>
      <x:c r="M1637" s="13"/>
      <x:c r="N1637" s="13"/>
      <x:c r="O1637" s="13"/>
      <x:c r="P1637" s="13"/>
    </x:row>
    <x:row r="1638">
      <x:c r="E1638" s="13"/>
      <x:c r="F1638" s="13"/>
      <x:c r="G1638" s="13"/>
      <x:c r="H1638" s="13"/>
      <x:c r="I1638" s="13"/>
      <x:c r="J1638" s="13"/>
      <x:c r="K1638" s="13"/>
      <x:c r="L1638" s="13"/>
      <x:c r="M1638" s="13"/>
      <x:c r="N1638" s="13"/>
      <x:c r="O1638" s="13"/>
      <x:c r="P1638" s="13"/>
    </x:row>
    <x:row r="1639">
      <x:c r="E1639" s="13"/>
      <x:c r="F1639" s="13"/>
      <x:c r="G1639" s="13"/>
      <x:c r="H1639" s="13"/>
      <x:c r="I1639" s="13"/>
      <x:c r="J1639" s="13"/>
      <x:c r="K1639" s="13"/>
      <x:c r="L1639" s="13"/>
      <x:c r="M1639" s="13"/>
      <x:c r="N1639" s="13"/>
      <x:c r="O1639" s="13"/>
      <x:c r="P1639" s="13"/>
    </x:row>
    <x:row r="1640">
      <x:c r="E1640" s="13"/>
      <x:c r="F1640" s="13"/>
      <x:c r="G1640" s="13"/>
      <x:c r="H1640" s="13"/>
      <x:c r="I1640" s="13"/>
      <x:c r="J1640" s="13"/>
      <x:c r="K1640" s="13"/>
      <x:c r="L1640" s="13"/>
      <x:c r="M1640" s="13"/>
      <x:c r="N1640" s="13"/>
      <x:c r="O1640" s="13"/>
      <x:c r="P1640" s="13"/>
    </x:row>
    <x:row r="1641">
      <x:c r="E1641" s="13"/>
      <x:c r="F1641" s="13"/>
      <x:c r="G1641" s="13"/>
      <x:c r="H1641" s="13"/>
      <x:c r="I1641" s="13"/>
      <x:c r="J1641" s="13"/>
      <x:c r="K1641" s="13"/>
      <x:c r="L1641" s="13"/>
      <x:c r="M1641" s="13"/>
      <x:c r="N1641" s="13"/>
      <x:c r="O1641" s="13"/>
      <x:c r="P1641" s="13"/>
    </x:row>
    <x:row r="1642">
      <x:c r="E1642" s="13"/>
      <x:c r="F1642" s="13"/>
      <x:c r="G1642" s="13"/>
      <x:c r="H1642" s="13"/>
      <x:c r="I1642" s="13"/>
      <x:c r="J1642" s="13"/>
      <x:c r="K1642" s="13"/>
      <x:c r="L1642" s="13"/>
      <x:c r="M1642" s="13"/>
      <x:c r="N1642" s="13"/>
      <x:c r="O1642" s="13"/>
      <x:c r="P1642" s="13"/>
    </x:row>
    <x:row r="1643">
      <x:c r="E1643" s="13"/>
      <x:c r="F1643" s="13"/>
      <x:c r="G1643" s="13"/>
      <x:c r="H1643" s="13"/>
      <x:c r="I1643" s="13"/>
      <x:c r="J1643" s="13"/>
      <x:c r="K1643" s="13"/>
      <x:c r="L1643" s="13"/>
      <x:c r="M1643" s="13"/>
      <x:c r="N1643" s="13"/>
      <x:c r="O1643" s="13"/>
      <x:c r="P1643" s="13"/>
    </x:row>
    <x:row r="1644">
      <x:c r="E1644" s="13"/>
      <x:c r="F1644" s="13"/>
      <x:c r="G1644" s="13"/>
      <x:c r="H1644" s="13"/>
      <x:c r="I1644" s="13"/>
      <x:c r="J1644" s="13"/>
      <x:c r="K1644" s="13"/>
      <x:c r="L1644" s="13"/>
      <x:c r="M1644" s="13"/>
      <x:c r="N1644" s="13"/>
      <x:c r="O1644" s="13"/>
      <x:c r="P1644" s="13"/>
    </x:row>
    <x:row r="1645">
      <x:c r="E1645" s="13"/>
      <x:c r="F1645" s="13"/>
      <x:c r="G1645" s="13"/>
      <x:c r="H1645" s="13"/>
      <x:c r="I1645" s="13"/>
      <x:c r="J1645" s="13"/>
      <x:c r="K1645" s="13"/>
      <x:c r="L1645" s="13"/>
      <x:c r="M1645" s="13"/>
      <x:c r="N1645" s="13"/>
      <x:c r="O1645" s="13"/>
      <x:c r="P1645" s="13"/>
    </x:row>
    <x:row r="1646">
      <x:c r="E1646" s="13"/>
      <x:c r="F1646" s="13"/>
      <x:c r="G1646" s="13"/>
      <x:c r="H1646" s="13"/>
      <x:c r="I1646" s="13"/>
      <x:c r="J1646" s="13"/>
      <x:c r="K1646" s="13"/>
      <x:c r="L1646" s="13"/>
      <x:c r="M1646" s="13"/>
      <x:c r="N1646" s="13"/>
      <x:c r="O1646" s="13"/>
      <x:c r="P1646" s="13"/>
    </x:row>
    <x:row r="1647">
      <x:c r="E1647" s="13"/>
      <x:c r="F1647" s="13"/>
      <x:c r="G1647" s="13"/>
      <x:c r="H1647" s="13"/>
      <x:c r="I1647" s="13"/>
      <x:c r="J1647" s="13"/>
      <x:c r="K1647" s="13"/>
      <x:c r="L1647" s="13"/>
      <x:c r="M1647" s="13"/>
      <x:c r="N1647" s="13"/>
      <x:c r="O1647" s="13"/>
      <x:c r="P1647" s="13"/>
    </x:row>
    <x:row r="1648">
      <x:c r="E1648" s="13"/>
      <x:c r="F1648" s="13"/>
      <x:c r="G1648" s="13"/>
      <x:c r="H1648" s="13"/>
      <x:c r="I1648" s="13"/>
      <x:c r="J1648" s="13"/>
      <x:c r="K1648" s="13"/>
      <x:c r="L1648" s="13"/>
      <x:c r="M1648" s="13"/>
      <x:c r="N1648" s="13"/>
      <x:c r="O1648" s="13"/>
      <x:c r="P1648" s="13"/>
    </x:row>
    <x:row r="1649">
      <x:c r="E1649" s="13"/>
      <x:c r="F1649" s="13"/>
      <x:c r="G1649" s="13"/>
      <x:c r="H1649" s="13"/>
      <x:c r="I1649" s="13"/>
      <x:c r="J1649" s="13"/>
      <x:c r="K1649" s="13"/>
      <x:c r="L1649" s="13"/>
      <x:c r="M1649" s="13"/>
      <x:c r="N1649" s="13"/>
      <x:c r="O1649" s="13"/>
      <x:c r="P1649" s="13"/>
    </x:row>
    <x:row r="1650">
      <x:c r="E1650" s="13"/>
      <x:c r="F1650" s="13"/>
      <x:c r="G1650" s="13"/>
      <x:c r="H1650" s="13"/>
      <x:c r="I1650" s="13"/>
      <x:c r="J1650" s="13"/>
      <x:c r="K1650" s="13"/>
      <x:c r="L1650" s="13"/>
      <x:c r="M1650" s="13"/>
      <x:c r="N1650" s="13"/>
      <x:c r="O1650" s="13"/>
      <x:c r="P1650" s="13"/>
    </x:row>
    <x:row r="1651">
      <x:c r="E1651" s="13"/>
      <x:c r="F1651" s="13"/>
      <x:c r="G1651" s="13"/>
      <x:c r="H1651" s="13"/>
      <x:c r="I1651" s="13"/>
      <x:c r="J1651" s="13"/>
      <x:c r="K1651" s="13"/>
      <x:c r="L1651" s="13"/>
      <x:c r="M1651" s="13"/>
      <x:c r="N1651" s="13"/>
      <x:c r="O1651" s="13"/>
      <x:c r="P1651" s="13"/>
    </x:row>
    <x:row r="1652">
      <x:c r="E1652" s="13"/>
      <x:c r="F1652" s="13"/>
      <x:c r="G1652" s="13"/>
      <x:c r="H1652" s="13"/>
      <x:c r="I1652" s="13"/>
      <x:c r="J1652" s="13"/>
      <x:c r="K1652" s="13"/>
      <x:c r="L1652" s="13"/>
      <x:c r="M1652" s="13"/>
      <x:c r="N1652" s="13"/>
      <x:c r="O1652" s="13"/>
      <x:c r="P1652" s="13"/>
    </x:row>
    <x:row r="1653">
      <x:c r="E1653" s="13"/>
      <x:c r="F1653" s="13"/>
      <x:c r="G1653" s="13"/>
      <x:c r="H1653" s="13"/>
      <x:c r="I1653" s="13"/>
      <x:c r="J1653" s="13"/>
      <x:c r="K1653" s="13"/>
      <x:c r="L1653" s="13"/>
      <x:c r="M1653" s="13"/>
      <x:c r="N1653" s="13"/>
      <x:c r="O1653" s="13"/>
      <x:c r="P1653" s="13"/>
    </x:row>
    <x:row r="1654">
      <x:c r="E1654" s="13"/>
      <x:c r="F1654" s="13"/>
      <x:c r="G1654" s="13"/>
      <x:c r="H1654" s="13"/>
      <x:c r="I1654" s="13"/>
      <x:c r="J1654" s="13"/>
      <x:c r="K1654" s="13"/>
      <x:c r="L1654" s="13"/>
      <x:c r="M1654" s="13"/>
      <x:c r="N1654" s="13"/>
      <x:c r="O1654" s="13"/>
      <x:c r="P1654" s="13"/>
    </x:row>
    <x:row r="1655">
      <x:c r="E1655" s="13"/>
      <x:c r="F1655" s="13"/>
      <x:c r="G1655" s="13"/>
      <x:c r="H1655" s="13"/>
      <x:c r="I1655" s="13"/>
      <x:c r="J1655" s="13"/>
      <x:c r="K1655" s="13"/>
      <x:c r="L1655" s="13"/>
      <x:c r="M1655" s="13"/>
      <x:c r="N1655" s="13"/>
      <x:c r="O1655" s="13"/>
      <x:c r="P1655" s="13"/>
    </x:row>
    <x:row r="1656">
      <x:c r="E1656" s="13"/>
      <x:c r="F1656" s="13"/>
      <x:c r="G1656" s="13"/>
      <x:c r="H1656" s="13"/>
      <x:c r="I1656" s="13"/>
      <x:c r="J1656" s="13"/>
      <x:c r="K1656" s="13"/>
      <x:c r="L1656" s="13"/>
      <x:c r="M1656" s="13"/>
      <x:c r="N1656" s="13"/>
      <x:c r="O1656" s="13"/>
      <x:c r="P1656" s="13"/>
    </x:row>
    <x:row r="1657">
      <x:c r="E1657" s="13"/>
      <x:c r="F1657" s="13"/>
      <x:c r="G1657" s="13"/>
      <x:c r="H1657" s="13"/>
      <x:c r="I1657" s="13"/>
      <x:c r="J1657" s="13"/>
      <x:c r="K1657" s="13"/>
      <x:c r="L1657" s="13"/>
      <x:c r="M1657" s="13"/>
      <x:c r="N1657" s="13"/>
      <x:c r="O1657" s="13"/>
      <x:c r="P1657" s="13"/>
    </x:row>
    <x:row r="1658">
      <x:c r="E1658" s="13"/>
      <x:c r="F1658" s="13"/>
      <x:c r="G1658" s="13"/>
      <x:c r="H1658" s="13"/>
      <x:c r="I1658" s="13"/>
      <x:c r="J1658" s="13"/>
      <x:c r="K1658" s="13"/>
      <x:c r="L1658" s="13"/>
      <x:c r="M1658" s="13"/>
      <x:c r="N1658" s="13"/>
      <x:c r="O1658" s="13"/>
      <x:c r="P1658" s="13"/>
    </x:row>
    <x:row r="1659">
      <x:c r="E1659" s="13"/>
      <x:c r="F1659" s="13"/>
      <x:c r="G1659" s="13"/>
      <x:c r="H1659" s="13"/>
      <x:c r="I1659" s="13"/>
      <x:c r="J1659" s="13"/>
      <x:c r="K1659" s="13"/>
      <x:c r="L1659" s="13"/>
      <x:c r="M1659" s="13"/>
      <x:c r="N1659" s="13"/>
      <x:c r="O1659" s="13"/>
      <x:c r="P1659" s="13"/>
    </x:row>
    <x:row r="1660">
      <x:c r="E1660" s="13"/>
      <x:c r="F1660" s="13"/>
      <x:c r="G1660" s="13"/>
      <x:c r="H1660" s="13"/>
      <x:c r="I1660" s="13"/>
      <x:c r="J1660" s="13"/>
      <x:c r="K1660" s="13"/>
      <x:c r="L1660" s="13"/>
      <x:c r="M1660" s="13"/>
      <x:c r="N1660" s="13"/>
      <x:c r="O1660" s="13"/>
      <x:c r="P1660" s="13"/>
    </x:row>
    <x:row r="1661">
      <x:c r="E1661" s="13"/>
      <x:c r="F1661" s="13"/>
      <x:c r="G1661" s="13"/>
      <x:c r="H1661" s="13"/>
      <x:c r="I1661" s="13"/>
      <x:c r="J1661" s="13"/>
      <x:c r="K1661" s="13"/>
      <x:c r="L1661" s="13"/>
      <x:c r="M1661" s="13"/>
      <x:c r="N1661" s="13"/>
      <x:c r="O1661" s="13"/>
      <x:c r="P1661" s="13"/>
    </x:row>
    <x:row r="1662">
      <x:c r="E1662" s="13"/>
      <x:c r="F1662" s="13"/>
      <x:c r="G1662" s="13"/>
      <x:c r="H1662" s="13"/>
      <x:c r="I1662" s="13"/>
      <x:c r="J1662" s="13"/>
      <x:c r="K1662" s="13"/>
      <x:c r="L1662" s="13"/>
      <x:c r="M1662" s="13"/>
      <x:c r="N1662" s="13"/>
      <x:c r="O1662" s="13"/>
      <x:c r="P1662" s="13"/>
    </x:row>
    <x:row r="1663">
      <x:c r="E1663" s="13"/>
      <x:c r="F1663" s="13"/>
      <x:c r="G1663" s="13"/>
      <x:c r="H1663" s="13"/>
      <x:c r="I1663" s="13"/>
      <x:c r="J1663" s="13"/>
      <x:c r="K1663" s="13"/>
      <x:c r="L1663" s="13"/>
      <x:c r="M1663" s="13"/>
      <x:c r="N1663" s="13"/>
      <x:c r="O1663" s="13"/>
      <x:c r="P1663" s="13"/>
    </x:row>
    <x:row r="1664">
      <x:c r="E1664" s="13"/>
      <x:c r="F1664" s="13"/>
      <x:c r="G1664" s="13"/>
      <x:c r="H1664" s="13"/>
      <x:c r="I1664" s="13"/>
      <x:c r="J1664" s="13"/>
      <x:c r="K1664" s="13"/>
      <x:c r="L1664" s="13"/>
      <x:c r="M1664" s="13"/>
      <x:c r="N1664" s="13"/>
      <x:c r="O1664" s="13"/>
      <x:c r="P1664" s="13"/>
    </x:row>
    <x:row r="1665">
      <x:c r="E1665" s="13"/>
      <x:c r="F1665" s="13"/>
      <x:c r="G1665" s="13"/>
      <x:c r="H1665" s="13"/>
      <x:c r="I1665" s="13"/>
      <x:c r="J1665" s="13"/>
      <x:c r="K1665" s="13"/>
      <x:c r="L1665" s="13"/>
      <x:c r="M1665" s="13"/>
      <x:c r="N1665" s="13"/>
      <x:c r="O1665" s="13"/>
      <x:c r="P1665" s="13"/>
    </x:row>
    <x:row r="1666">
      <x:c r="E1666" s="13"/>
      <x:c r="F1666" s="13"/>
      <x:c r="G1666" s="13"/>
      <x:c r="H1666" s="13"/>
      <x:c r="I1666" s="13"/>
      <x:c r="J1666" s="13"/>
      <x:c r="K1666" s="13"/>
      <x:c r="L1666" s="13"/>
      <x:c r="M1666" s="13"/>
      <x:c r="N1666" s="13"/>
      <x:c r="O1666" s="13"/>
      <x:c r="P1666" s="13"/>
    </x:row>
    <x:row r="1667">
      <x:c r="E1667" s="13"/>
      <x:c r="F1667" s="13"/>
      <x:c r="G1667" s="13"/>
      <x:c r="H1667" s="13"/>
      <x:c r="I1667" s="13"/>
      <x:c r="J1667" s="13"/>
      <x:c r="K1667" s="13"/>
      <x:c r="L1667" s="13"/>
      <x:c r="M1667" s="13"/>
      <x:c r="N1667" s="13"/>
      <x:c r="O1667" s="13"/>
      <x:c r="P1667" s="13"/>
    </x:row>
    <x:row r="1668">
      <x:c r="E1668" s="13"/>
      <x:c r="F1668" s="13"/>
      <x:c r="G1668" s="13"/>
      <x:c r="H1668" s="13"/>
      <x:c r="I1668" s="13"/>
      <x:c r="J1668" s="13"/>
      <x:c r="K1668" s="13"/>
      <x:c r="L1668" s="13"/>
      <x:c r="M1668" s="13"/>
      <x:c r="N1668" s="13"/>
      <x:c r="O1668" s="13"/>
      <x:c r="P1668" s="13"/>
    </x:row>
    <x:row r="1669">
      <x:c r="E1669" s="13"/>
      <x:c r="F1669" s="13"/>
      <x:c r="G1669" s="13"/>
      <x:c r="H1669" s="13"/>
      <x:c r="I1669" s="13"/>
      <x:c r="J1669" s="13"/>
      <x:c r="K1669" s="13"/>
      <x:c r="L1669" s="13"/>
      <x:c r="M1669" s="13"/>
      <x:c r="N1669" s="13"/>
      <x:c r="O1669" s="13"/>
      <x:c r="P1669" s="13"/>
    </x:row>
    <x:row r="1670">
      <x:c r="E1670" s="13"/>
      <x:c r="F1670" s="13"/>
      <x:c r="G1670" s="13"/>
      <x:c r="H1670" s="13"/>
      <x:c r="I1670" s="13"/>
      <x:c r="J1670" s="13"/>
      <x:c r="K1670" s="13"/>
      <x:c r="L1670" s="13"/>
      <x:c r="M1670" s="13"/>
      <x:c r="N1670" s="13"/>
      <x:c r="O1670" s="13"/>
      <x:c r="P1670" s="13"/>
    </x:row>
    <x:row r="1671">
      <x:c r="E1671" s="13"/>
      <x:c r="F1671" s="13"/>
      <x:c r="G1671" s="13"/>
      <x:c r="H1671" s="13"/>
      <x:c r="I1671" s="13"/>
      <x:c r="J1671" s="13"/>
      <x:c r="K1671" s="13"/>
      <x:c r="L1671" s="13"/>
      <x:c r="M1671" s="13"/>
      <x:c r="N1671" s="13"/>
      <x:c r="O1671" s="13"/>
      <x:c r="P1671" s="13"/>
    </x:row>
    <x:row r="1672">
      <x:c r="E1672" s="13"/>
      <x:c r="F1672" s="13"/>
      <x:c r="G1672" s="13"/>
      <x:c r="H1672" s="13"/>
      <x:c r="I1672" s="13"/>
      <x:c r="J1672" s="13"/>
      <x:c r="K1672" s="13"/>
      <x:c r="L1672" s="13"/>
      <x:c r="M1672" s="13"/>
      <x:c r="N1672" s="13"/>
      <x:c r="O1672" s="13"/>
      <x:c r="P1672" s="13"/>
    </x:row>
    <x:row r="1673">
      <x:c r="E1673" s="13"/>
      <x:c r="F1673" s="13"/>
      <x:c r="G1673" s="13"/>
      <x:c r="H1673" s="13"/>
      <x:c r="I1673" s="13"/>
      <x:c r="J1673" s="13"/>
      <x:c r="K1673" s="13"/>
      <x:c r="L1673" s="13"/>
      <x:c r="M1673" s="13"/>
      <x:c r="N1673" s="13"/>
      <x:c r="O1673" s="13"/>
      <x:c r="P1673" s="13"/>
    </x:row>
    <x:row r="1674">
      <x:c r="E1674" s="13"/>
      <x:c r="F1674" s="13"/>
      <x:c r="G1674" s="13"/>
      <x:c r="H1674" s="13"/>
      <x:c r="I1674" s="13"/>
      <x:c r="J1674" s="13"/>
      <x:c r="K1674" s="13"/>
      <x:c r="L1674" s="13"/>
      <x:c r="M1674" s="13"/>
      <x:c r="N1674" s="13"/>
      <x:c r="O1674" s="13"/>
      <x:c r="P1674" s="13"/>
    </x:row>
    <x:row r="1675">
      <x:c r="E1675" s="13"/>
      <x:c r="F1675" s="13"/>
      <x:c r="G1675" s="13"/>
      <x:c r="H1675" s="13"/>
      <x:c r="I1675" s="13"/>
      <x:c r="J1675" s="13"/>
      <x:c r="K1675" s="13"/>
      <x:c r="L1675" s="13"/>
      <x:c r="M1675" s="13"/>
      <x:c r="N1675" s="13"/>
      <x:c r="O1675" s="13"/>
      <x:c r="P1675" s="13"/>
    </x:row>
    <x:row r="1676">
      <x:c r="E1676" s="13"/>
      <x:c r="F1676" s="13"/>
      <x:c r="G1676" s="13"/>
      <x:c r="H1676" s="13"/>
      <x:c r="I1676" s="13"/>
      <x:c r="J1676" s="13"/>
      <x:c r="K1676" s="13"/>
      <x:c r="L1676" s="13"/>
      <x:c r="M1676" s="13"/>
      <x:c r="N1676" s="13"/>
      <x:c r="O1676" s="13"/>
      <x:c r="P1676" s="13"/>
    </x:row>
    <x:row r="1677">
      <x:c r="E1677" s="13"/>
      <x:c r="F1677" s="13"/>
      <x:c r="G1677" s="13"/>
      <x:c r="H1677" s="13"/>
      <x:c r="I1677" s="13"/>
      <x:c r="J1677" s="13"/>
      <x:c r="K1677" s="13"/>
      <x:c r="L1677" s="13"/>
      <x:c r="M1677" s="13"/>
      <x:c r="N1677" s="13"/>
      <x:c r="O1677" s="13"/>
      <x:c r="P1677" s="13"/>
    </x:row>
    <x:row r="1678">
      <x:c r="E1678" s="13"/>
      <x:c r="F1678" s="13"/>
      <x:c r="G1678" s="13"/>
      <x:c r="H1678" s="13"/>
      <x:c r="I1678" s="13"/>
      <x:c r="J1678" s="13"/>
      <x:c r="K1678" s="13"/>
      <x:c r="L1678" s="13"/>
      <x:c r="M1678" s="13"/>
      <x:c r="N1678" s="13"/>
      <x:c r="O1678" s="13"/>
      <x:c r="P1678" s="13"/>
    </x:row>
    <x:row r="1679">
      <x:c r="E1679" s="13"/>
      <x:c r="F1679" s="13"/>
      <x:c r="G1679" s="13"/>
      <x:c r="H1679" s="13"/>
      <x:c r="I1679" s="13"/>
      <x:c r="J1679" s="13"/>
      <x:c r="K1679" s="13"/>
      <x:c r="L1679" s="13"/>
      <x:c r="M1679" s="13"/>
      <x:c r="N1679" s="13"/>
      <x:c r="O1679" s="13"/>
      <x:c r="P1679" s="13"/>
    </x:row>
    <x:row r="1680">
      <x:c r="E1680" s="13"/>
      <x:c r="F1680" s="13"/>
      <x:c r="G1680" s="13"/>
      <x:c r="H1680" s="13"/>
      <x:c r="I1680" s="13"/>
      <x:c r="J1680" s="13"/>
      <x:c r="K1680" s="13"/>
      <x:c r="L1680" s="13"/>
      <x:c r="M1680" s="13"/>
      <x:c r="N1680" s="13"/>
      <x:c r="O1680" s="13"/>
      <x:c r="P1680" s="13"/>
    </x:row>
    <x:row r="1681">
      <x:c r="E1681" s="13"/>
      <x:c r="F1681" s="13"/>
      <x:c r="G1681" s="13"/>
      <x:c r="H1681" s="13"/>
      <x:c r="I1681" s="13"/>
      <x:c r="J1681" s="13"/>
      <x:c r="K1681" s="13"/>
      <x:c r="L1681" s="13"/>
      <x:c r="M1681" s="13"/>
      <x:c r="N1681" s="13"/>
      <x:c r="O1681" s="13"/>
      <x:c r="P1681" s="13"/>
    </x:row>
    <x:row r="1682">
      <x:c r="E1682" s="13"/>
      <x:c r="F1682" s="13"/>
      <x:c r="G1682" s="13"/>
      <x:c r="H1682" s="13"/>
      <x:c r="I1682" s="13"/>
      <x:c r="J1682" s="13"/>
      <x:c r="K1682" s="13"/>
      <x:c r="L1682" s="13"/>
      <x:c r="M1682" s="13"/>
      <x:c r="N1682" s="13"/>
      <x:c r="O1682" s="13"/>
      <x:c r="P1682" s="13"/>
    </x:row>
    <x:row r="1683">
      <x:c r="E1683" s="13"/>
      <x:c r="F1683" s="13"/>
      <x:c r="G1683" s="13"/>
      <x:c r="H1683" s="13"/>
      <x:c r="I1683" s="13"/>
      <x:c r="J1683" s="13"/>
      <x:c r="K1683" s="13"/>
      <x:c r="L1683" s="13"/>
      <x:c r="M1683" s="13"/>
      <x:c r="N1683" s="13"/>
      <x:c r="O1683" s="13"/>
      <x:c r="P1683" s="13"/>
    </x:row>
    <x:row r="1684">
      <x:c r="E1684" s="13"/>
      <x:c r="F1684" s="13"/>
      <x:c r="G1684" s="13"/>
      <x:c r="H1684" s="13"/>
      <x:c r="I1684" s="13"/>
      <x:c r="J1684" s="13"/>
      <x:c r="K1684" s="13"/>
      <x:c r="L1684" s="13"/>
      <x:c r="M1684" s="13"/>
      <x:c r="N1684" s="13"/>
      <x:c r="O1684" s="13"/>
      <x:c r="P1684" s="13"/>
    </x:row>
    <x:row r="1685">
      <x:c r="E1685" s="13"/>
      <x:c r="F1685" s="13"/>
      <x:c r="G1685" s="13"/>
      <x:c r="H1685" s="13"/>
      <x:c r="I1685" s="13"/>
      <x:c r="J1685" s="13"/>
      <x:c r="K1685" s="13"/>
      <x:c r="L1685" s="13"/>
      <x:c r="M1685" s="13"/>
      <x:c r="N1685" s="13"/>
      <x:c r="O1685" s="13"/>
      <x:c r="P1685" s="13"/>
    </x:row>
    <x:row r="1686">
      <x:c r="E1686" s="13"/>
      <x:c r="F1686" s="13"/>
      <x:c r="G1686" s="13"/>
      <x:c r="H1686" s="13"/>
      <x:c r="I1686" s="13"/>
      <x:c r="J1686" s="13"/>
      <x:c r="K1686" s="13"/>
      <x:c r="L1686" s="13"/>
      <x:c r="M1686" s="13"/>
      <x:c r="N1686" s="13"/>
      <x:c r="O1686" s="13"/>
      <x:c r="P1686" s="13"/>
    </x:row>
    <x:row r="1687">
      <x:c r="E1687" s="13"/>
      <x:c r="F1687" s="13"/>
      <x:c r="G1687" s="13"/>
      <x:c r="H1687" s="13"/>
      <x:c r="I1687" s="13"/>
      <x:c r="J1687" s="13"/>
      <x:c r="K1687" s="13"/>
      <x:c r="L1687" s="13"/>
      <x:c r="M1687" s="13"/>
      <x:c r="N1687" s="13"/>
      <x:c r="O1687" s="13"/>
      <x:c r="P1687" s="13"/>
    </x:row>
    <x:row r="1688">
      <x:c r="E1688" s="13"/>
      <x:c r="F1688" s="13"/>
      <x:c r="G1688" s="13"/>
      <x:c r="H1688" s="13"/>
      <x:c r="I1688" s="13"/>
      <x:c r="J1688" s="13"/>
      <x:c r="K1688" s="13"/>
      <x:c r="L1688" s="13"/>
      <x:c r="M1688" s="13"/>
      <x:c r="N1688" s="13"/>
      <x:c r="O1688" s="13"/>
      <x:c r="P1688" s="13"/>
    </x:row>
    <x:row r="1689">
      <x:c r="E1689" s="13"/>
      <x:c r="F1689" s="13"/>
      <x:c r="G1689" s="13"/>
      <x:c r="H1689" s="13"/>
      <x:c r="I1689" s="13"/>
      <x:c r="J1689" s="13"/>
      <x:c r="K1689" s="13"/>
      <x:c r="L1689" s="13"/>
      <x:c r="M1689" s="13"/>
      <x:c r="N1689" s="13"/>
      <x:c r="O1689" s="13"/>
      <x:c r="P1689" s="13"/>
    </x:row>
    <x:row r="1690">
      <x:c r="E1690" s="13"/>
      <x:c r="F1690" s="13"/>
      <x:c r="G1690" s="13"/>
      <x:c r="H1690" s="13"/>
      <x:c r="I1690" s="13"/>
      <x:c r="J1690" s="13"/>
      <x:c r="K1690" s="13"/>
      <x:c r="L1690" s="13"/>
      <x:c r="M1690" s="13"/>
      <x:c r="N1690" s="13"/>
      <x:c r="O1690" s="13"/>
      <x:c r="P1690" s="13"/>
    </x:row>
    <x:row r="1691">
      <x:c r="E1691" s="13"/>
      <x:c r="F1691" s="13"/>
      <x:c r="G1691" s="13"/>
      <x:c r="H1691" s="13"/>
      <x:c r="I1691" s="13"/>
      <x:c r="J1691" s="13"/>
      <x:c r="K1691" s="13"/>
      <x:c r="L1691" s="13"/>
      <x:c r="M1691" s="13"/>
      <x:c r="N1691" s="13"/>
      <x:c r="O1691" s="13"/>
      <x:c r="P1691" s="13"/>
    </x:row>
    <x:row r="1692">
      <x:c r="E1692" s="13"/>
      <x:c r="F1692" s="13"/>
      <x:c r="G1692" s="13"/>
      <x:c r="H1692" s="13"/>
      <x:c r="I1692" s="13"/>
      <x:c r="J1692" s="13"/>
      <x:c r="K1692" s="13"/>
      <x:c r="L1692" s="13"/>
      <x:c r="M1692" s="13"/>
      <x:c r="N1692" s="13"/>
      <x:c r="O1692" s="13"/>
      <x:c r="P1692" s="13"/>
    </x:row>
    <x:row r="1693">
      <x:c r="E1693" s="13"/>
      <x:c r="F1693" s="13"/>
      <x:c r="G1693" s="13"/>
      <x:c r="H1693" s="13"/>
      <x:c r="I1693" s="13"/>
      <x:c r="J1693" s="13"/>
      <x:c r="K1693" s="13"/>
      <x:c r="L1693" s="13"/>
      <x:c r="M1693" s="13"/>
      <x:c r="N1693" s="13"/>
      <x:c r="O1693" s="13"/>
      <x:c r="P1693" s="13"/>
    </x:row>
    <x:row r="1694">
      <x:c r="E1694" s="13"/>
      <x:c r="F1694" s="13"/>
      <x:c r="G1694" s="13"/>
      <x:c r="H1694" s="13"/>
      <x:c r="I1694" s="13"/>
      <x:c r="J1694" s="13"/>
      <x:c r="K1694" s="13"/>
      <x:c r="L1694" s="13"/>
      <x:c r="M1694" s="13"/>
      <x:c r="N1694" s="13"/>
      <x:c r="O1694" s="13"/>
      <x:c r="P1694" s="13"/>
    </x:row>
    <x:row r="1695">
      <x:c r="E1695" s="13"/>
      <x:c r="F1695" s="13"/>
      <x:c r="G1695" s="13"/>
      <x:c r="H1695" s="13"/>
      <x:c r="I1695" s="13"/>
      <x:c r="J1695" s="13"/>
      <x:c r="K1695" s="13"/>
      <x:c r="L1695" s="13"/>
      <x:c r="M1695" s="13"/>
      <x:c r="N1695" s="13"/>
      <x:c r="O1695" s="13"/>
      <x:c r="P1695" s="13"/>
    </x:row>
    <x:row r="1696">
      <x:c r="E1696" s="13"/>
      <x:c r="F1696" s="13"/>
      <x:c r="G1696" s="13"/>
      <x:c r="H1696" s="13"/>
      <x:c r="I1696" s="13"/>
      <x:c r="J1696" s="13"/>
      <x:c r="K1696" s="13"/>
      <x:c r="L1696" s="13"/>
      <x:c r="M1696" s="13"/>
      <x:c r="N1696" s="13"/>
      <x:c r="O1696" s="13"/>
      <x:c r="P1696" s="13"/>
    </x:row>
    <x:row r="1697">
      <x:c r="E1697" s="13"/>
      <x:c r="F1697" s="13"/>
      <x:c r="G1697" s="13"/>
      <x:c r="H1697" s="13"/>
      <x:c r="I1697" s="13"/>
      <x:c r="J1697" s="13"/>
      <x:c r="K1697" s="13"/>
      <x:c r="L1697" s="13"/>
      <x:c r="M1697" s="13"/>
      <x:c r="N1697" s="13"/>
      <x:c r="O1697" s="13"/>
      <x:c r="P1697" s="13"/>
    </x:row>
    <x:row r="1698">
      <x:c r="E1698" s="13"/>
      <x:c r="F1698" s="13"/>
      <x:c r="G1698" s="13"/>
      <x:c r="H1698" s="13"/>
      <x:c r="I1698" s="13"/>
      <x:c r="J1698" s="13"/>
      <x:c r="K1698" s="13"/>
      <x:c r="L1698" s="13"/>
      <x:c r="M1698" s="13"/>
      <x:c r="N1698" s="13"/>
      <x:c r="O1698" s="13"/>
      <x:c r="P1698" s="13"/>
    </x:row>
    <x:row r="1699">
      <x:c r="E1699" s="13"/>
      <x:c r="F1699" s="13"/>
      <x:c r="G1699" s="13"/>
      <x:c r="H1699" s="13"/>
      <x:c r="I1699" s="13"/>
      <x:c r="J1699" s="13"/>
      <x:c r="K1699" s="13"/>
      <x:c r="L1699" s="13"/>
      <x:c r="M1699" s="13"/>
      <x:c r="N1699" s="13"/>
      <x:c r="O1699" s="13"/>
      <x:c r="P1699" s="13"/>
    </x:row>
    <x:row r="1700">
      <x:c r="E1700" s="13"/>
      <x:c r="F1700" s="13"/>
      <x:c r="G1700" s="13"/>
      <x:c r="H1700" s="13"/>
      <x:c r="I1700" s="13"/>
      <x:c r="J1700" s="13"/>
      <x:c r="K1700" s="13"/>
      <x:c r="L1700" s="13"/>
      <x:c r="M1700" s="13"/>
      <x:c r="N1700" s="13"/>
      <x:c r="O1700" s="13"/>
      <x:c r="P1700" s="13"/>
    </x:row>
    <x:row r="1701">
      <x:c r="E1701" s="13"/>
      <x:c r="F1701" s="13"/>
      <x:c r="G1701" s="13"/>
      <x:c r="H1701" s="13"/>
      <x:c r="I1701" s="13"/>
      <x:c r="J1701" s="13"/>
      <x:c r="K1701" s="13"/>
      <x:c r="L1701" s="13"/>
      <x:c r="M1701" s="13"/>
      <x:c r="N1701" s="13"/>
      <x:c r="O1701" s="13"/>
      <x:c r="P1701" s="13"/>
    </x:row>
    <x:row r="1702">
      <x:c r="E1702" s="13"/>
      <x:c r="F1702" s="13"/>
      <x:c r="G1702" s="13"/>
      <x:c r="H1702" s="13"/>
      <x:c r="I1702" s="13"/>
      <x:c r="J1702" s="13"/>
      <x:c r="K1702" s="13"/>
      <x:c r="L1702" s="13"/>
      <x:c r="M1702" s="13"/>
      <x:c r="N1702" s="13"/>
      <x:c r="O1702" s="13"/>
      <x:c r="P1702" s="13"/>
    </x:row>
    <x:row r="1703">
      <x:c r="E1703" s="13"/>
      <x:c r="F1703" s="13"/>
      <x:c r="G1703" s="13"/>
      <x:c r="H1703" s="13"/>
      <x:c r="I1703" s="13"/>
      <x:c r="J1703" s="13"/>
      <x:c r="K1703" s="13"/>
      <x:c r="L1703" s="13"/>
      <x:c r="M1703" s="13"/>
      <x:c r="N1703" s="13"/>
      <x:c r="O1703" s="13"/>
      <x:c r="P1703" s="13"/>
    </x:row>
    <x:row r="1704">
      <x:c r="E1704" s="13"/>
      <x:c r="F1704" s="13"/>
      <x:c r="G1704" s="13"/>
      <x:c r="H1704" s="13"/>
      <x:c r="I1704" s="13"/>
      <x:c r="J1704" s="13"/>
      <x:c r="K1704" s="13"/>
      <x:c r="L1704" s="13"/>
      <x:c r="M1704" s="13"/>
      <x:c r="N1704" s="13"/>
      <x:c r="O1704" s="13"/>
      <x:c r="P1704" s="13"/>
    </x:row>
    <x:row r="1705">
      <x:c r="E1705" s="13"/>
      <x:c r="F1705" s="13"/>
      <x:c r="G1705" s="13"/>
      <x:c r="H1705" s="13"/>
      <x:c r="I1705" s="13"/>
      <x:c r="J1705" s="13"/>
      <x:c r="K1705" s="13"/>
      <x:c r="L1705" s="13"/>
      <x:c r="M1705" s="13"/>
      <x:c r="N1705" s="13"/>
      <x:c r="O1705" s="13"/>
      <x:c r="P1705" s="13"/>
    </x:row>
    <x:row r="1706">
      <x:c r="E1706" s="13"/>
      <x:c r="F1706" s="13"/>
      <x:c r="G1706" s="13"/>
      <x:c r="H1706" s="13"/>
      <x:c r="I1706" s="13"/>
      <x:c r="J1706" s="13"/>
      <x:c r="K1706" s="13"/>
      <x:c r="L1706" s="13"/>
      <x:c r="M1706" s="13"/>
      <x:c r="N1706" s="13"/>
      <x:c r="O1706" s="13"/>
      <x:c r="P1706" s="13"/>
    </x:row>
    <x:row r="1707">
      <x:c r="E1707" s="13"/>
      <x:c r="F1707" s="13"/>
      <x:c r="G1707" s="13"/>
      <x:c r="H1707" s="13"/>
      <x:c r="I1707" s="13"/>
      <x:c r="J1707" s="13"/>
      <x:c r="K1707" s="13"/>
      <x:c r="L1707" s="13"/>
      <x:c r="M1707" s="13"/>
      <x:c r="N1707" s="13"/>
      <x:c r="O1707" s="13"/>
      <x:c r="P1707" s="13"/>
    </x:row>
    <x:row r="1708">
      <x:c r="E1708" s="13"/>
      <x:c r="F1708" s="13"/>
      <x:c r="G1708" s="13"/>
      <x:c r="H1708" s="13"/>
      <x:c r="I1708" s="13"/>
      <x:c r="J1708" s="13"/>
      <x:c r="K1708" s="13"/>
      <x:c r="L1708" s="13"/>
      <x:c r="M1708" s="13"/>
      <x:c r="N1708" s="13"/>
      <x:c r="O1708" s="13"/>
      <x:c r="P1708" s="13"/>
    </x:row>
    <x:row r="1709">
      <x:c r="E1709" s="13"/>
      <x:c r="F1709" s="13"/>
      <x:c r="G1709" s="13"/>
      <x:c r="H1709" s="13"/>
      <x:c r="I1709" s="13"/>
      <x:c r="J1709" s="13"/>
      <x:c r="K1709" s="13"/>
      <x:c r="L1709" s="13"/>
      <x:c r="M1709" s="13"/>
      <x:c r="N1709" s="13"/>
      <x:c r="O1709" s="13"/>
      <x:c r="P1709" s="13"/>
    </x:row>
    <x:row r="1710">
      <x:c r="E1710" s="13"/>
      <x:c r="F1710" s="13"/>
      <x:c r="G1710" s="13"/>
      <x:c r="H1710" s="13"/>
      <x:c r="I1710" s="13"/>
      <x:c r="J1710" s="13"/>
      <x:c r="K1710" s="13"/>
      <x:c r="L1710" s="13"/>
      <x:c r="M1710" s="13"/>
      <x:c r="N1710" s="13"/>
      <x:c r="O1710" s="13"/>
      <x:c r="P1710" s="13"/>
    </x:row>
    <x:row r="1711">
      <x:c r="E1711" s="13"/>
      <x:c r="F1711" s="13"/>
      <x:c r="G1711" s="13"/>
      <x:c r="H1711" s="13"/>
      <x:c r="I1711" s="13"/>
      <x:c r="J1711" s="13"/>
      <x:c r="K1711" s="13"/>
      <x:c r="L1711" s="13"/>
      <x:c r="M1711" s="13"/>
      <x:c r="N1711" s="13"/>
      <x:c r="O1711" s="13"/>
      <x:c r="P1711" s="13"/>
    </x:row>
    <x:row r="1712">
      <x:c r="E1712" s="13"/>
      <x:c r="F1712" s="13"/>
      <x:c r="G1712" s="13"/>
      <x:c r="H1712" s="13"/>
      <x:c r="I1712" s="13"/>
      <x:c r="J1712" s="13"/>
      <x:c r="K1712" s="13"/>
      <x:c r="L1712" s="13"/>
      <x:c r="M1712" s="13"/>
      <x:c r="N1712" s="13"/>
      <x:c r="O1712" s="13"/>
      <x:c r="P1712" s="13"/>
    </x:row>
    <x:row r="1713">
      <x:c r="E1713" s="13"/>
      <x:c r="F1713" s="13"/>
      <x:c r="G1713" s="13"/>
      <x:c r="H1713" s="13"/>
      <x:c r="I1713" s="13"/>
      <x:c r="J1713" s="13"/>
      <x:c r="K1713" s="13"/>
      <x:c r="L1713" s="13"/>
      <x:c r="M1713" s="13"/>
      <x:c r="N1713" s="13"/>
      <x:c r="O1713" s="13"/>
      <x:c r="P1713" s="13"/>
    </x:row>
    <x:row r="1714">
      <x:c r="E1714" s="13"/>
      <x:c r="F1714" s="13"/>
      <x:c r="G1714" s="13"/>
      <x:c r="H1714" s="13"/>
      <x:c r="I1714" s="13"/>
      <x:c r="J1714" s="13"/>
      <x:c r="K1714" s="13"/>
      <x:c r="L1714" s="13"/>
      <x:c r="M1714" s="13"/>
      <x:c r="N1714" s="13"/>
      <x:c r="O1714" s="13"/>
      <x:c r="P1714" s="13"/>
    </x:row>
    <x:row r="1715">
      <x:c r="E1715" s="13"/>
      <x:c r="F1715" s="13"/>
      <x:c r="G1715" s="13"/>
      <x:c r="H1715" s="13"/>
      <x:c r="I1715" s="13"/>
      <x:c r="J1715" s="13"/>
      <x:c r="K1715" s="13"/>
      <x:c r="L1715" s="13"/>
      <x:c r="M1715" s="13"/>
      <x:c r="N1715" s="13"/>
      <x:c r="O1715" s="13"/>
      <x:c r="P1715" s="13"/>
    </x:row>
    <x:row r="1716">
      <x:c r="E1716" s="13"/>
      <x:c r="F1716" s="13"/>
      <x:c r="G1716" s="13"/>
      <x:c r="H1716" s="13"/>
      <x:c r="I1716" s="13"/>
      <x:c r="J1716" s="13"/>
      <x:c r="K1716" s="13"/>
      <x:c r="L1716" s="13"/>
      <x:c r="M1716" s="13"/>
      <x:c r="N1716" s="13"/>
      <x:c r="O1716" s="13"/>
      <x:c r="P1716" s="13"/>
    </x:row>
    <x:row r="1717">
      <x:c r="E1717" s="13"/>
      <x:c r="F1717" s="13"/>
      <x:c r="G1717" s="13"/>
      <x:c r="H1717" s="13"/>
      <x:c r="I1717" s="13"/>
      <x:c r="J1717" s="13"/>
      <x:c r="K1717" s="13"/>
      <x:c r="L1717" s="13"/>
      <x:c r="M1717" s="13"/>
      <x:c r="N1717" s="13"/>
      <x:c r="O1717" s="13"/>
      <x:c r="P1717" s="13"/>
    </x:row>
    <x:row r="1718">
      <x:c r="E1718" s="13"/>
      <x:c r="F1718" s="13"/>
      <x:c r="G1718" s="13"/>
      <x:c r="H1718" s="13"/>
      <x:c r="I1718" s="13"/>
      <x:c r="J1718" s="13"/>
      <x:c r="K1718" s="13"/>
      <x:c r="L1718" s="13"/>
      <x:c r="M1718" s="13"/>
      <x:c r="N1718" s="13"/>
      <x:c r="O1718" s="13"/>
      <x:c r="P1718" s="13"/>
    </x:row>
    <x:row r="1719">
      <x:c r="E1719" s="13"/>
      <x:c r="F1719" s="13"/>
      <x:c r="G1719" s="13"/>
      <x:c r="H1719" s="13"/>
      <x:c r="I1719" s="13"/>
      <x:c r="J1719" s="13"/>
      <x:c r="K1719" s="13"/>
      <x:c r="L1719" s="13"/>
      <x:c r="M1719" s="13"/>
      <x:c r="N1719" s="13"/>
      <x:c r="O1719" s="13"/>
      <x:c r="P1719" s="13"/>
    </x:row>
    <x:row r="1720">
      <x:c r="E1720" s="13"/>
      <x:c r="F1720" s="13"/>
      <x:c r="G1720" s="13"/>
      <x:c r="H1720" s="13"/>
      <x:c r="I1720" s="13"/>
      <x:c r="J1720" s="13"/>
      <x:c r="K1720" s="13"/>
      <x:c r="L1720" s="13"/>
      <x:c r="M1720" s="13"/>
      <x:c r="N1720" s="13"/>
      <x:c r="O1720" s="13"/>
      <x:c r="P1720" s="13"/>
    </x:row>
    <x:row r="1721">
      <x:c r="E1721" s="13"/>
      <x:c r="F1721" s="13"/>
      <x:c r="G1721" s="13"/>
      <x:c r="H1721" s="13"/>
      <x:c r="I1721" s="13"/>
      <x:c r="J1721" s="13"/>
      <x:c r="K1721" s="13"/>
      <x:c r="L1721" s="13"/>
      <x:c r="M1721" s="13"/>
      <x:c r="N1721" s="13"/>
      <x:c r="O1721" s="13"/>
      <x:c r="P1721" s="13"/>
    </x:row>
    <x:row r="1722">
      <x:c r="E1722" s="13"/>
      <x:c r="F1722" s="13"/>
      <x:c r="G1722" s="13"/>
      <x:c r="H1722" s="13"/>
      <x:c r="I1722" s="13"/>
      <x:c r="J1722" s="13"/>
      <x:c r="K1722" s="13"/>
      <x:c r="L1722" s="13"/>
      <x:c r="M1722" s="13"/>
      <x:c r="N1722" s="13"/>
      <x:c r="O1722" s="13"/>
      <x:c r="P1722" s="13"/>
    </x:row>
    <x:row r="1723">
      <x:c r="E1723" s="13"/>
      <x:c r="F1723" s="13"/>
      <x:c r="G1723" s="13"/>
      <x:c r="H1723" s="13"/>
      <x:c r="I1723" s="13"/>
      <x:c r="J1723" s="13"/>
      <x:c r="K1723" s="13"/>
      <x:c r="L1723" s="13"/>
      <x:c r="M1723" s="13"/>
      <x:c r="N1723" s="13"/>
      <x:c r="O1723" s="13"/>
      <x:c r="P1723" s="13"/>
    </x:row>
    <x:row r="1724">
      <x:c r="E1724" s="13"/>
      <x:c r="F1724" s="13"/>
      <x:c r="G1724" s="13"/>
      <x:c r="H1724" s="13"/>
      <x:c r="I1724" s="13"/>
      <x:c r="J1724" s="13"/>
      <x:c r="K1724" s="13"/>
      <x:c r="L1724" s="13"/>
      <x:c r="M1724" s="13"/>
      <x:c r="N1724" s="13"/>
      <x:c r="O1724" s="13"/>
      <x:c r="P1724" s="13"/>
    </x:row>
    <x:row r="1725">
      <x:c r="E1725" s="13"/>
      <x:c r="F1725" s="13"/>
      <x:c r="G1725" s="13"/>
      <x:c r="H1725" s="13"/>
      <x:c r="I1725" s="13"/>
      <x:c r="J1725" s="13"/>
      <x:c r="K1725" s="13"/>
      <x:c r="L1725" s="13"/>
      <x:c r="M1725" s="13"/>
      <x:c r="N1725" s="13"/>
      <x:c r="O1725" s="13"/>
      <x:c r="P1725" s="13"/>
    </x:row>
    <x:row r="1726">
      <x:c r="E1726" s="13"/>
      <x:c r="F1726" s="13"/>
      <x:c r="G1726" s="13"/>
      <x:c r="H1726" s="13"/>
      <x:c r="I1726" s="13"/>
      <x:c r="J1726" s="13"/>
      <x:c r="K1726" s="13"/>
      <x:c r="L1726" s="13"/>
      <x:c r="M1726" s="13"/>
      <x:c r="N1726" s="13"/>
      <x:c r="O1726" s="13"/>
      <x:c r="P1726" s="13"/>
    </x:row>
    <x:row r="1727">
      <x:c r="E1727" s="13"/>
      <x:c r="F1727" s="13"/>
      <x:c r="G1727" s="13"/>
      <x:c r="H1727" s="13"/>
      <x:c r="I1727" s="13"/>
      <x:c r="J1727" s="13"/>
      <x:c r="K1727" s="13"/>
      <x:c r="L1727" s="13"/>
      <x:c r="M1727" s="13"/>
      <x:c r="N1727" s="13"/>
      <x:c r="O1727" s="13"/>
      <x:c r="P1727" s="13"/>
    </x:row>
    <x:row r="1728">
      <x:c r="E1728" s="13"/>
      <x:c r="F1728" s="13"/>
      <x:c r="G1728" s="13"/>
      <x:c r="H1728" s="13"/>
      <x:c r="I1728" s="13"/>
      <x:c r="J1728" s="13"/>
      <x:c r="K1728" s="13"/>
      <x:c r="L1728" s="13"/>
      <x:c r="M1728" s="13"/>
      <x:c r="N1728" s="13"/>
      <x:c r="O1728" s="13"/>
      <x:c r="P1728" s="13"/>
    </x:row>
    <x:row r="1729">
      <x:c r="E1729" s="13"/>
      <x:c r="F1729" s="13"/>
      <x:c r="G1729" s="13"/>
      <x:c r="H1729" s="13"/>
      <x:c r="I1729" s="13"/>
      <x:c r="J1729" s="13"/>
      <x:c r="K1729" s="13"/>
      <x:c r="L1729" s="13"/>
      <x:c r="M1729" s="13"/>
      <x:c r="N1729" s="13"/>
      <x:c r="O1729" s="13"/>
      <x:c r="P1729" s="13"/>
    </x:row>
    <x:row r="1730">
      <x:c r="E1730" s="13"/>
      <x:c r="F1730" s="13"/>
      <x:c r="G1730" s="13"/>
      <x:c r="H1730" s="13"/>
      <x:c r="I1730" s="13"/>
      <x:c r="J1730" s="13"/>
      <x:c r="K1730" s="13"/>
      <x:c r="L1730" s="13"/>
      <x:c r="M1730" s="13"/>
      <x:c r="N1730" s="13"/>
      <x:c r="O1730" s="13"/>
      <x:c r="P1730" s="13"/>
    </x:row>
    <x:row r="1731">
      <x:c r="E1731" s="13"/>
      <x:c r="F1731" s="13"/>
      <x:c r="G1731" s="13"/>
      <x:c r="H1731" s="13"/>
      <x:c r="I1731" s="13"/>
      <x:c r="J1731" s="13"/>
      <x:c r="K1731" s="13"/>
      <x:c r="L1731" s="13"/>
      <x:c r="M1731" s="13"/>
      <x:c r="N1731" s="13"/>
      <x:c r="O1731" s="13"/>
      <x:c r="P1731" s="13"/>
    </x:row>
    <x:row r="1732">
      <x:c r="E1732" s="13"/>
      <x:c r="F1732" s="13"/>
      <x:c r="G1732" s="13"/>
      <x:c r="H1732" s="13"/>
      <x:c r="I1732" s="13"/>
      <x:c r="J1732" s="13"/>
      <x:c r="K1732" s="13"/>
      <x:c r="L1732" s="13"/>
      <x:c r="M1732" s="13"/>
      <x:c r="N1732" s="13"/>
      <x:c r="O1732" s="13"/>
      <x:c r="P1732" s="13"/>
    </x:row>
    <x:row r="1733">
      <x:c r="E1733" s="13"/>
      <x:c r="F1733" s="13"/>
      <x:c r="G1733" s="13"/>
      <x:c r="H1733" s="13"/>
      <x:c r="I1733" s="13"/>
      <x:c r="J1733" s="13"/>
      <x:c r="K1733" s="13"/>
      <x:c r="L1733" s="13"/>
      <x:c r="M1733" s="13"/>
      <x:c r="N1733" s="13"/>
      <x:c r="O1733" s="13"/>
      <x:c r="P1733" s="13"/>
    </x:row>
    <x:row r="1734">
      <x:c r="E1734" s="13"/>
      <x:c r="F1734" s="13"/>
      <x:c r="G1734" s="13"/>
      <x:c r="H1734" s="13"/>
      <x:c r="I1734" s="13"/>
      <x:c r="J1734" s="13"/>
      <x:c r="K1734" s="13"/>
      <x:c r="L1734" s="13"/>
      <x:c r="M1734" s="13"/>
      <x:c r="N1734" s="13"/>
      <x:c r="O1734" s="13"/>
      <x:c r="P1734" s="13"/>
    </x:row>
    <x:row r="1735">
      <x:c r="E1735" s="13"/>
      <x:c r="F1735" s="13"/>
      <x:c r="G1735" s="13"/>
      <x:c r="H1735" s="13"/>
      <x:c r="I1735" s="13"/>
      <x:c r="J1735" s="13"/>
      <x:c r="K1735" s="13"/>
      <x:c r="L1735" s="13"/>
      <x:c r="M1735" s="13"/>
      <x:c r="N1735" s="13"/>
      <x:c r="O1735" s="13"/>
      <x:c r="P1735" s="13"/>
    </x:row>
    <x:row r="1736">
      <x:c r="E1736" s="13"/>
      <x:c r="F1736" s="13"/>
      <x:c r="G1736" s="13"/>
      <x:c r="H1736" s="13"/>
      <x:c r="I1736" s="13"/>
      <x:c r="J1736" s="13"/>
      <x:c r="K1736" s="13"/>
      <x:c r="L1736" s="13"/>
      <x:c r="M1736" s="13"/>
      <x:c r="N1736" s="13"/>
      <x:c r="O1736" s="13"/>
      <x:c r="P1736" s="13"/>
    </x:row>
    <x:row r="1737">
      <x:c r="E1737" s="13"/>
      <x:c r="F1737" s="13"/>
      <x:c r="G1737" s="13"/>
      <x:c r="H1737" s="13"/>
      <x:c r="I1737" s="13"/>
      <x:c r="J1737" s="13"/>
      <x:c r="K1737" s="13"/>
      <x:c r="L1737" s="13"/>
      <x:c r="M1737" s="13"/>
      <x:c r="N1737" s="13"/>
      <x:c r="O1737" s="13"/>
      <x:c r="P1737" s="13"/>
    </x:row>
    <x:row r="1738">
      <x:c r="E1738" s="13"/>
      <x:c r="F1738" s="13"/>
      <x:c r="G1738" s="13"/>
      <x:c r="H1738" s="13"/>
      <x:c r="I1738" s="13"/>
      <x:c r="J1738" s="13"/>
      <x:c r="K1738" s="13"/>
      <x:c r="L1738" s="13"/>
      <x:c r="M1738" s="13"/>
      <x:c r="N1738" s="13"/>
      <x:c r="O1738" s="13"/>
      <x:c r="P1738" s="13"/>
    </x:row>
    <x:row r="1739">
      <x:c r="E1739" s="13"/>
      <x:c r="F1739" s="13"/>
      <x:c r="G1739" s="13"/>
      <x:c r="H1739" s="13"/>
      <x:c r="I1739" s="13"/>
      <x:c r="J1739" s="13"/>
      <x:c r="K1739" s="13"/>
      <x:c r="L1739" s="13"/>
      <x:c r="M1739" s="13"/>
      <x:c r="N1739" s="13"/>
      <x:c r="O1739" s="13"/>
      <x:c r="P1739" s="13"/>
    </x:row>
    <x:row r="1740">
      <x:c r="E1740" s="13"/>
      <x:c r="F1740" s="13"/>
      <x:c r="G1740" s="13"/>
      <x:c r="H1740" s="13"/>
      <x:c r="I1740" s="13"/>
      <x:c r="J1740" s="13"/>
      <x:c r="K1740" s="13"/>
      <x:c r="L1740" s="13"/>
      <x:c r="M1740" s="13"/>
      <x:c r="N1740" s="13"/>
      <x:c r="O1740" s="13"/>
      <x:c r="P1740" s="13"/>
    </x:row>
    <x:row r="1741">
      <x:c r="E1741" s="13"/>
      <x:c r="F1741" s="13"/>
      <x:c r="G1741" s="13"/>
      <x:c r="H1741" s="13"/>
      <x:c r="I1741" s="13"/>
      <x:c r="J1741" s="13"/>
      <x:c r="K1741" s="13"/>
      <x:c r="L1741" s="13"/>
      <x:c r="M1741" s="13"/>
      <x:c r="N1741" s="13"/>
      <x:c r="O1741" s="13"/>
      <x:c r="P1741" s="13"/>
    </x:row>
    <x:row r="1742">
      <x:c r="E1742" s="13"/>
      <x:c r="F1742" s="13"/>
      <x:c r="G1742" s="13"/>
      <x:c r="H1742" s="13"/>
      <x:c r="I1742" s="13"/>
      <x:c r="J1742" s="13"/>
      <x:c r="K1742" s="13"/>
      <x:c r="L1742" s="13"/>
      <x:c r="M1742" s="13"/>
      <x:c r="N1742" s="13"/>
      <x:c r="O1742" s="13"/>
      <x:c r="P1742" s="13"/>
    </x:row>
    <x:row r="1743">
      <x:c r="E1743" s="13"/>
      <x:c r="F1743" s="13"/>
      <x:c r="G1743" s="13"/>
      <x:c r="H1743" s="13"/>
      <x:c r="I1743" s="13"/>
      <x:c r="J1743" s="13"/>
      <x:c r="K1743" s="13"/>
      <x:c r="L1743" s="13"/>
      <x:c r="M1743" s="13"/>
      <x:c r="N1743" s="13"/>
      <x:c r="O1743" s="13"/>
      <x:c r="P1743" s="13"/>
    </x:row>
    <x:row r="1744">
      <x:c r="E1744" s="13"/>
      <x:c r="F1744" s="13"/>
      <x:c r="G1744" s="13"/>
      <x:c r="H1744" s="13"/>
      <x:c r="I1744" s="13"/>
      <x:c r="J1744" s="13"/>
      <x:c r="K1744" s="13"/>
      <x:c r="L1744" s="13"/>
      <x:c r="M1744" s="13"/>
      <x:c r="N1744" s="13"/>
      <x:c r="O1744" s="13"/>
      <x:c r="P1744" s="13"/>
    </x:row>
    <x:row r="1745">
      <x:c r="E1745" s="13"/>
      <x:c r="F1745" s="13"/>
      <x:c r="G1745" s="13"/>
      <x:c r="H1745" s="13"/>
      <x:c r="I1745" s="13"/>
      <x:c r="J1745" s="13"/>
      <x:c r="K1745" s="13"/>
      <x:c r="L1745" s="13"/>
      <x:c r="M1745" s="13"/>
      <x:c r="N1745" s="13"/>
      <x:c r="O1745" s="13"/>
      <x:c r="P1745" s="13"/>
    </x:row>
    <x:row r="1746">
      <x:c r="E1746" s="13"/>
      <x:c r="F1746" s="13"/>
      <x:c r="G1746" s="13"/>
      <x:c r="H1746" s="13"/>
      <x:c r="I1746" s="13"/>
      <x:c r="J1746" s="13"/>
      <x:c r="K1746" s="13"/>
      <x:c r="L1746" s="13"/>
      <x:c r="M1746" s="13"/>
      <x:c r="N1746" s="13"/>
      <x:c r="O1746" s="13"/>
      <x:c r="P1746" s="13"/>
    </x:row>
    <x:row r="1747">
      <x:c r="E1747" s="13"/>
      <x:c r="F1747" s="13"/>
      <x:c r="G1747" s="13"/>
      <x:c r="H1747" s="13"/>
      <x:c r="I1747" s="13"/>
      <x:c r="J1747" s="13"/>
      <x:c r="K1747" s="13"/>
      <x:c r="L1747" s="13"/>
      <x:c r="M1747" s="13"/>
      <x:c r="N1747" s="13"/>
      <x:c r="O1747" s="13"/>
      <x:c r="P1747" s="13"/>
    </x:row>
    <x:row r="1748">
      <x:c r="E1748" s="13"/>
      <x:c r="F1748" s="13"/>
      <x:c r="G1748" s="13"/>
      <x:c r="H1748" s="13"/>
      <x:c r="I1748" s="13"/>
      <x:c r="J1748" s="13"/>
      <x:c r="K1748" s="13"/>
      <x:c r="L1748" s="13"/>
      <x:c r="M1748" s="13"/>
      <x:c r="N1748" s="13"/>
      <x:c r="O1748" s="13"/>
      <x:c r="P1748" s="13"/>
    </x:row>
    <x:row r="1749">
      <x:c r="E1749" s="13"/>
      <x:c r="F1749" s="13"/>
      <x:c r="G1749" s="13"/>
      <x:c r="H1749" s="13"/>
      <x:c r="I1749" s="13"/>
      <x:c r="J1749" s="13"/>
      <x:c r="K1749" s="13"/>
      <x:c r="L1749" s="13"/>
      <x:c r="M1749" s="13"/>
      <x:c r="N1749" s="13"/>
      <x:c r="O1749" s="13"/>
      <x:c r="P1749" s="13"/>
    </x:row>
    <x:row r="1750">
      <x:c r="E1750" s="13"/>
      <x:c r="F1750" s="13"/>
      <x:c r="G1750" s="13"/>
      <x:c r="H1750" s="13"/>
      <x:c r="I1750" s="13"/>
      <x:c r="J1750" s="13"/>
      <x:c r="K1750" s="13"/>
      <x:c r="L1750" s="13"/>
      <x:c r="M1750" s="13"/>
      <x:c r="N1750" s="13"/>
      <x:c r="O1750" s="13"/>
      <x:c r="P1750" s="13"/>
    </x:row>
    <x:row r="1751">
      <x:c r="E1751" s="13"/>
      <x:c r="F1751" s="13"/>
      <x:c r="G1751" s="13"/>
      <x:c r="H1751" s="13"/>
      <x:c r="I1751" s="13"/>
      <x:c r="J1751" s="13"/>
      <x:c r="K1751" s="13"/>
      <x:c r="L1751" s="13"/>
      <x:c r="M1751" s="13"/>
      <x:c r="N1751" s="13"/>
      <x:c r="O1751" s="13"/>
      <x:c r="P1751" s="13"/>
    </x:row>
    <x:row r="1752">
      <x:c r="E1752" s="13"/>
      <x:c r="F1752" s="13"/>
      <x:c r="G1752" s="13"/>
      <x:c r="H1752" s="13"/>
      <x:c r="I1752" s="13"/>
      <x:c r="J1752" s="13"/>
      <x:c r="K1752" s="13"/>
      <x:c r="L1752" s="13"/>
      <x:c r="M1752" s="13"/>
      <x:c r="N1752" s="13"/>
      <x:c r="O1752" s="13"/>
      <x:c r="P1752" s="13"/>
    </x:row>
    <x:row r="1753">
      <x:c r="E1753" s="13"/>
      <x:c r="F1753" s="13"/>
      <x:c r="G1753" s="13"/>
      <x:c r="H1753" s="13"/>
      <x:c r="I1753" s="13"/>
      <x:c r="J1753" s="13"/>
      <x:c r="K1753" s="13"/>
      <x:c r="L1753" s="13"/>
      <x:c r="M1753" s="13"/>
      <x:c r="N1753" s="13"/>
      <x:c r="O1753" s="13"/>
      <x:c r="P1753" s="13"/>
    </x:row>
    <x:row r="1754">
      <x:c r="E1754" s="13"/>
      <x:c r="F1754" s="13"/>
      <x:c r="G1754" s="13"/>
      <x:c r="H1754" s="13"/>
      <x:c r="I1754" s="13"/>
      <x:c r="J1754" s="13"/>
      <x:c r="K1754" s="13"/>
      <x:c r="L1754" s="13"/>
      <x:c r="M1754" s="13"/>
      <x:c r="N1754" s="13"/>
      <x:c r="O1754" s="13"/>
      <x:c r="P1754" s="13"/>
    </x:row>
    <x:row r="1755">
      <x:c r="E1755" s="13"/>
      <x:c r="F1755" s="13"/>
      <x:c r="G1755" s="13"/>
      <x:c r="H1755" s="13"/>
      <x:c r="I1755" s="13"/>
      <x:c r="J1755" s="13"/>
      <x:c r="K1755" s="13"/>
      <x:c r="L1755" s="13"/>
      <x:c r="M1755" s="13"/>
      <x:c r="N1755" s="13"/>
      <x:c r="O1755" s="13"/>
      <x:c r="P1755" s="13"/>
    </x:row>
    <x:row r="1756">
      <x:c r="E1756" s="13"/>
      <x:c r="F1756" s="13"/>
      <x:c r="G1756" s="13"/>
      <x:c r="H1756" s="13"/>
      <x:c r="I1756" s="13"/>
      <x:c r="J1756" s="13"/>
      <x:c r="K1756" s="13"/>
      <x:c r="L1756" s="13"/>
      <x:c r="M1756" s="13"/>
      <x:c r="N1756" s="13"/>
      <x:c r="O1756" s="13"/>
      <x:c r="P1756" s="13"/>
    </x:row>
    <x:row r="1757">
      <x:c r="E1757" s="13"/>
      <x:c r="F1757" s="13"/>
      <x:c r="G1757" s="13"/>
      <x:c r="H1757" s="13"/>
      <x:c r="I1757" s="13"/>
      <x:c r="J1757" s="13"/>
      <x:c r="K1757" s="13"/>
      <x:c r="L1757" s="13"/>
      <x:c r="M1757" s="13"/>
      <x:c r="N1757" s="13"/>
      <x:c r="O1757" s="13"/>
      <x:c r="P1757" s="13"/>
    </x:row>
    <x:row r="1758">
      <x:c r="E1758" s="13"/>
      <x:c r="F1758" s="13"/>
      <x:c r="G1758" s="13"/>
      <x:c r="H1758" s="13"/>
      <x:c r="I1758" s="13"/>
      <x:c r="J1758" s="13"/>
      <x:c r="K1758" s="13"/>
      <x:c r="L1758" s="13"/>
      <x:c r="M1758" s="13"/>
      <x:c r="N1758" s="13"/>
      <x:c r="O1758" s="13"/>
      <x:c r="P1758" s="13"/>
    </x:row>
    <x:row r="1759">
      <x:c r="E1759" s="13"/>
      <x:c r="F1759" s="13"/>
      <x:c r="G1759" s="13"/>
      <x:c r="H1759" s="13"/>
      <x:c r="I1759" s="13"/>
      <x:c r="J1759" s="13"/>
      <x:c r="K1759" s="13"/>
      <x:c r="L1759" s="13"/>
      <x:c r="M1759" s="13"/>
      <x:c r="N1759" s="13"/>
      <x:c r="O1759" s="13"/>
      <x:c r="P1759" s="13"/>
    </x:row>
    <x:row r="1760">
      <x:c r="E1760" s="13"/>
      <x:c r="F1760" s="13"/>
      <x:c r="G1760" s="13"/>
      <x:c r="H1760" s="13"/>
      <x:c r="I1760" s="13"/>
      <x:c r="J1760" s="13"/>
      <x:c r="K1760" s="13"/>
      <x:c r="L1760" s="13"/>
      <x:c r="M1760" s="13"/>
      <x:c r="N1760" s="13"/>
      <x:c r="O1760" s="13"/>
      <x:c r="P1760" s="13"/>
    </x:row>
    <x:row r="1761">
      <x:c r="E1761" s="13"/>
      <x:c r="F1761" s="13"/>
      <x:c r="G1761" s="13"/>
      <x:c r="H1761" s="13"/>
      <x:c r="I1761" s="13"/>
      <x:c r="J1761" s="13"/>
      <x:c r="K1761" s="13"/>
      <x:c r="L1761" s="13"/>
      <x:c r="M1761" s="13"/>
      <x:c r="N1761" s="13"/>
      <x:c r="O1761" s="13"/>
      <x:c r="P1761" s="13"/>
    </x:row>
    <x:row r="1762">
      <x:c r="E1762" s="13"/>
      <x:c r="F1762" s="13"/>
      <x:c r="G1762" s="13"/>
      <x:c r="H1762" s="13"/>
      <x:c r="I1762" s="13"/>
      <x:c r="J1762" s="13"/>
      <x:c r="K1762" s="13"/>
      <x:c r="L1762" s="13"/>
      <x:c r="M1762" s="13"/>
      <x:c r="N1762" s="13"/>
      <x:c r="O1762" s="13"/>
      <x:c r="P1762" s="13"/>
    </x:row>
    <x:row r="1763">
      <x:c r="E1763" s="13"/>
      <x:c r="F1763" s="13"/>
      <x:c r="G1763" s="13"/>
      <x:c r="H1763" s="13"/>
      <x:c r="I1763" s="13"/>
      <x:c r="J1763" s="13"/>
      <x:c r="K1763" s="13"/>
      <x:c r="L1763" s="13"/>
      <x:c r="M1763" s="13"/>
      <x:c r="N1763" s="13"/>
      <x:c r="O1763" s="13"/>
      <x:c r="P1763" s="13"/>
    </x:row>
    <x:row r="1764">
      <x:c r="E1764" s="13"/>
      <x:c r="F1764" s="13"/>
      <x:c r="G1764" s="13"/>
      <x:c r="H1764" s="13"/>
      <x:c r="I1764" s="13"/>
      <x:c r="J1764" s="13"/>
      <x:c r="K1764" s="13"/>
      <x:c r="L1764" s="13"/>
      <x:c r="M1764" s="13"/>
      <x:c r="N1764" s="13"/>
      <x:c r="O1764" s="13"/>
      <x:c r="P1764" s="13"/>
    </x:row>
    <x:row r="1765">
      <x:c r="E1765" s="13"/>
      <x:c r="F1765" s="13"/>
      <x:c r="G1765" s="13"/>
      <x:c r="H1765" s="13"/>
      <x:c r="I1765" s="13"/>
      <x:c r="J1765" s="13"/>
      <x:c r="K1765" s="13"/>
      <x:c r="L1765" s="13"/>
      <x:c r="M1765" s="13"/>
      <x:c r="N1765" s="13"/>
      <x:c r="O1765" s="13"/>
      <x:c r="P1765" s="13"/>
    </x:row>
    <x:row r="1766">
      <x:c r="E1766" s="13"/>
      <x:c r="F1766" s="13"/>
      <x:c r="G1766" s="13"/>
      <x:c r="H1766" s="13"/>
      <x:c r="I1766" s="13"/>
      <x:c r="J1766" s="13"/>
      <x:c r="K1766" s="13"/>
      <x:c r="L1766" s="13"/>
      <x:c r="M1766" s="13"/>
      <x:c r="N1766" s="13"/>
      <x:c r="O1766" s="13"/>
      <x:c r="P1766" s="13"/>
    </x:row>
    <x:row r="1767">
      <x:c r="E1767" s="13"/>
      <x:c r="F1767" s="13"/>
      <x:c r="G1767" s="13"/>
      <x:c r="H1767" s="13"/>
      <x:c r="I1767" s="13"/>
      <x:c r="J1767" s="13"/>
      <x:c r="K1767" s="13"/>
      <x:c r="L1767" s="13"/>
      <x:c r="M1767" s="13"/>
      <x:c r="N1767" s="13"/>
      <x:c r="O1767" s="13"/>
      <x:c r="P1767" s="13"/>
    </x:row>
    <x:row r="1768">
      <x:c r="E1768" s="13"/>
      <x:c r="F1768" s="13"/>
      <x:c r="G1768" s="13"/>
      <x:c r="H1768" s="13"/>
      <x:c r="I1768" s="13"/>
      <x:c r="J1768" s="13"/>
      <x:c r="K1768" s="13"/>
      <x:c r="L1768" s="13"/>
      <x:c r="M1768" s="13"/>
      <x:c r="N1768" s="13"/>
      <x:c r="O1768" s="13"/>
      <x:c r="P1768" s="13"/>
    </x:row>
    <x:row r="1769">
      <x:c r="E1769" s="13"/>
      <x:c r="F1769" s="13"/>
      <x:c r="G1769" s="13"/>
      <x:c r="H1769" s="13"/>
      <x:c r="I1769" s="13"/>
      <x:c r="J1769" s="13"/>
      <x:c r="K1769" s="13"/>
      <x:c r="L1769" s="13"/>
      <x:c r="M1769" s="13"/>
      <x:c r="N1769" s="13"/>
      <x:c r="O1769" s="13"/>
      <x:c r="P1769" s="13"/>
    </x:row>
    <x:row r="1770">
      <x:c r="E1770" s="13"/>
      <x:c r="F1770" s="13"/>
      <x:c r="G1770" s="13"/>
      <x:c r="H1770" s="13"/>
      <x:c r="I1770" s="13"/>
      <x:c r="J1770" s="13"/>
      <x:c r="K1770" s="13"/>
      <x:c r="L1770" s="13"/>
      <x:c r="M1770" s="13"/>
      <x:c r="N1770" s="13"/>
      <x:c r="O1770" s="13"/>
      <x:c r="P1770" s="13"/>
    </x:row>
    <x:row r="1771">
      <x:c r="E1771" s="13"/>
      <x:c r="F1771" s="13"/>
      <x:c r="G1771" s="13"/>
      <x:c r="H1771" s="13"/>
      <x:c r="I1771" s="13"/>
      <x:c r="J1771" s="13"/>
      <x:c r="K1771" s="13"/>
      <x:c r="L1771" s="13"/>
      <x:c r="M1771" s="13"/>
      <x:c r="N1771" s="13"/>
      <x:c r="O1771" s="13"/>
      <x:c r="P1771" s="13"/>
    </x:row>
    <x:row r="1772">
      <x:c r="E1772" s="13"/>
      <x:c r="F1772" s="13"/>
      <x:c r="G1772" s="13"/>
      <x:c r="H1772" s="13"/>
      <x:c r="I1772" s="13"/>
      <x:c r="J1772" s="13"/>
      <x:c r="K1772" s="13"/>
      <x:c r="L1772" s="13"/>
      <x:c r="M1772" s="13"/>
      <x:c r="N1772" s="13"/>
      <x:c r="O1772" s="13"/>
      <x:c r="P1772" s="13"/>
    </x:row>
    <x:row r="1773">
      <x:c r="E1773" s="13"/>
      <x:c r="F1773" s="13"/>
      <x:c r="G1773" s="13"/>
      <x:c r="H1773" s="13"/>
      <x:c r="I1773" s="13"/>
      <x:c r="J1773" s="13"/>
      <x:c r="K1773" s="13"/>
      <x:c r="L1773" s="13"/>
      <x:c r="M1773" s="13"/>
      <x:c r="N1773" s="13"/>
      <x:c r="O1773" s="13"/>
      <x:c r="P1773" s="13"/>
    </x:row>
    <x:row r="1774">
      <x:c r="E1774" s="13"/>
      <x:c r="F1774" s="13"/>
      <x:c r="G1774" s="13"/>
      <x:c r="H1774" s="13"/>
      <x:c r="I1774" s="13"/>
      <x:c r="J1774" s="13"/>
      <x:c r="K1774" s="13"/>
      <x:c r="L1774" s="13"/>
      <x:c r="M1774" s="13"/>
      <x:c r="N1774" s="13"/>
      <x:c r="O1774" s="13"/>
      <x:c r="P1774" s="13"/>
    </x:row>
    <x:row r="1775">
      <x:c r="E1775" s="13"/>
      <x:c r="F1775" s="13"/>
      <x:c r="G1775" s="13"/>
      <x:c r="H1775" s="13"/>
      <x:c r="I1775" s="13"/>
      <x:c r="J1775" s="13"/>
      <x:c r="K1775" s="13"/>
      <x:c r="L1775" s="13"/>
      <x:c r="M1775" s="13"/>
      <x:c r="N1775" s="13"/>
      <x:c r="O1775" s="13"/>
      <x:c r="P1775" s="13"/>
    </x:row>
    <x:row r="1776">
      <x:c r="E1776" s="13"/>
      <x:c r="F1776" s="13"/>
      <x:c r="G1776" s="13"/>
      <x:c r="H1776" s="13"/>
      <x:c r="I1776" s="13"/>
      <x:c r="J1776" s="13"/>
      <x:c r="K1776" s="13"/>
      <x:c r="L1776" s="13"/>
      <x:c r="M1776" s="13"/>
      <x:c r="N1776" s="13"/>
      <x:c r="O1776" s="13"/>
      <x:c r="P1776" s="13"/>
    </x:row>
    <x:row r="1777">
      <x:c r="E1777" s="13"/>
      <x:c r="F1777" s="13"/>
      <x:c r="G1777" s="13"/>
      <x:c r="H1777" s="13"/>
      <x:c r="I1777" s="13"/>
      <x:c r="J1777" s="13"/>
      <x:c r="K1777" s="13"/>
      <x:c r="L1777" s="13"/>
      <x:c r="M1777" s="13"/>
      <x:c r="N1777" s="13"/>
      <x:c r="O1777" s="13"/>
      <x:c r="P1777" s="13"/>
    </x:row>
    <x:row r="1778">
      <x:c r="E1778" s="13"/>
      <x:c r="F1778" s="13"/>
      <x:c r="G1778" s="13"/>
      <x:c r="H1778" s="13"/>
      <x:c r="I1778" s="13"/>
      <x:c r="J1778" s="13"/>
      <x:c r="K1778" s="13"/>
      <x:c r="L1778" s="13"/>
      <x:c r="M1778" s="13"/>
      <x:c r="N1778" s="13"/>
      <x:c r="O1778" s="13"/>
      <x:c r="P1778" s="13"/>
    </x:row>
    <x:row r="1779">
      <x:c r="E1779" s="13"/>
      <x:c r="F1779" s="13"/>
      <x:c r="G1779" s="13"/>
      <x:c r="H1779" s="13"/>
      <x:c r="I1779" s="13"/>
      <x:c r="J1779" s="13"/>
      <x:c r="K1779" s="13"/>
      <x:c r="L1779" s="13"/>
      <x:c r="M1779" s="13"/>
      <x:c r="N1779" s="13"/>
      <x:c r="O1779" s="13"/>
      <x:c r="P1779" s="13"/>
    </x:row>
    <x:row r="1780">
      <x:c r="E1780" s="13"/>
      <x:c r="F1780" s="13"/>
      <x:c r="G1780" s="13"/>
      <x:c r="H1780" s="13"/>
      <x:c r="I1780" s="13"/>
      <x:c r="J1780" s="13"/>
      <x:c r="K1780" s="13"/>
      <x:c r="L1780" s="13"/>
      <x:c r="M1780" s="13"/>
      <x:c r="N1780" s="13"/>
      <x:c r="O1780" s="13"/>
      <x:c r="P1780" s="13"/>
    </x:row>
    <x:row r="1781">
      <x:c r="E1781" s="13"/>
      <x:c r="F1781" s="13"/>
      <x:c r="G1781" s="13"/>
      <x:c r="H1781" s="13"/>
      <x:c r="I1781" s="13"/>
      <x:c r="J1781" s="13"/>
      <x:c r="K1781" s="13"/>
      <x:c r="L1781" s="13"/>
      <x:c r="M1781" s="13"/>
      <x:c r="N1781" s="13"/>
      <x:c r="O1781" s="13"/>
      <x:c r="P1781" s="13"/>
    </x:row>
    <x:row r="1782">
      <x:c r="E1782" s="13"/>
      <x:c r="F1782" s="13"/>
      <x:c r="G1782" s="13"/>
      <x:c r="H1782" s="13"/>
      <x:c r="I1782" s="13"/>
      <x:c r="J1782" s="13"/>
      <x:c r="K1782" s="13"/>
      <x:c r="L1782" s="13"/>
      <x:c r="M1782" s="13"/>
      <x:c r="N1782" s="13"/>
      <x:c r="O1782" s="13"/>
      <x:c r="P1782" s="13"/>
    </x:row>
    <x:row r="1783">
      <x:c r="E1783" s="13"/>
      <x:c r="F1783" s="13"/>
      <x:c r="G1783" s="13"/>
      <x:c r="H1783" s="13"/>
      <x:c r="I1783" s="13"/>
      <x:c r="J1783" s="13"/>
      <x:c r="K1783" s="13"/>
      <x:c r="L1783" s="13"/>
      <x:c r="M1783" s="13"/>
      <x:c r="N1783" s="13"/>
      <x:c r="O1783" s="13"/>
      <x:c r="P1783" s="13"/>
    </x:row>
    <x:row r="1784">
      <x:c r="E1784" s="13"/>
      <x:c r="F1784" s="13"/>
      <x:c r="G1784" s="13"/>
      <x:c r="H1784" s="13"/>
      <x:c r="I1784" s="13"/>
      <x:c r="J1784" s="13"/>
      <x:c r="K1784" s="13"/>
      <x:c r="L1784" s="13"/>
      <x:c r="M1784" s="13"/>
      <x:c r="N1784" s="13"/>
      <x:c r="O1784" s="13"/>
      <x:c r="P1784" s="13"/>
    </x:row>
    <x:row r="1785">
      <x:c r="E1785" s="13"/>
      <x:c r="F1785" s="13"/>
      <x:c r="G1785" s="13"/>
      <x:c r="H1785" s="13"/>
      <x:c r="I1785" s="13"/>
      <x:c r="J1785" s="13"/>
      <x:c r="K1785" s="13"/>
      <x:c r="L1785" s="13"/>
      <x:c r="M1785" s="13"/>
      <x:c r="N1785" s="13"/>
      <x:c r="O1785" s="13"/>
      <x:c r="P1785" s="13"/>
    </x:row>
    <x:row r="1786">
      <x:c r="E1786" s="13"/>
      <x:c r="F1786" s="13"/>
      <x:c r="G1786" s="13"/>
      <x:c r="H1786" s="13"/>
      <x:c r="I1786" s="13"/>
      <x:c r="J1786" s="13"/>
      <x:c r="K1786" s="13"/>
      <x:c r="L1786" s="13"/>
      <x:c r="M1786" s="13"/>
      <x:c r="N1786" s="13"/>
      <x:c r="O1786" s="13"/>
      <x:c r="P1786" s="13"/>
    </x:row>
    <x:row r="1787">
      <x:c r="E1787" s="13"/>
      <x:c r="F1787" s="13"/>
      <x:c r="G1787" s="13"/>
      <x:c r="H1787" s="13"/>
      <x:c r="I1787" s="13"/>
      <x:c r="J1787" s="13"/>
      <x:c r="K1787" s="13"/>
      <x:c r="L1787" s="13"/>
      <x:c r="M1787" s="13"/>
      <x:c r="N1787" s="13"/>
      <x:c r="O1787" s="13"/>
      <x:c r="P1787" s="13"/>
    </x:row>
    <x:row r="1788">
      <x:c r="E1788" s="13"/>
      <x:c r="F1788" s="13"/>
      <x:c r="G1788" s="13"/>
      <x:c r="H1788" s="13"/>
      <x:c r="I1788" s="13"/>
      <x:c r="J1788" s="13"/>
      <x:c r="K1788" s="13"/>
      <x:c r="L1788" s="13"/>
      <x:c r="M1788" s="13"/>
      <x:c r="N1788" s="13"/>
      <x:c r="O1788" s="13"/>
      <x:c r="P1788" s="13"/>
    </x:row>
    <x:row r="1789">
      <x:c r="E1789" s="13"/>
      <x:c r="F1789" s="13"/>
      <x:c r="G1789" s="13"/>
      <x:c r="H1789" s="13"/>
      <x:c r="I1789" s="13"/>
      <x:c r="J1789" s="13"/>
      <x:c r="K1789" s="13"/>
      <x:c r="L1789" s="13"/>
      <x:c r="M1789" s="13"/>
      <x:c r="N1789" s="13"/>
      <x:c r="O1789" s="13"/>
      <x:c r="P1789" s="13"/>
    </x:row>
    <x:row r="1790">
      <x:c r="E1790" s="13"/>
      <x:c r="F1790" s="13"/>
      <x:c r="G1790" s="13"/>
      <x:c r="H1790" s="13"/>
      <x:c r="I1790" s="13"/>
      <x:c r="J1790" s="13"/>
      <x:c r="K1790" s="13"/>
      <x:c r="L1790" s="13"/>
      <x:c r="M1790" s="13"/>
      <x:c r="N1790" s="13"/>
      <x:c r="O1790" s="13"/>
      <x:c r="P1790" s="13"/>
    </x:row>
    <x:row r="1791">
      <x:c r="E1791" s="13"/>
      <x:c r="F1791" s="13"/>
      <x:c r="G1791" s="13"/>
      <x:c r="H1791" s="13"/>
      <x:c r="I1791" s="13"/>
      <x:c r="J1791" s="13"/>
      <x:c r="K1791" s="13"/>
      <x:c r="L1791" s="13"/>
      <x:c r="M1791" s="13"/>
      <x:c r="N1791" s="13"/>
      <x:c r="O1791" s="13"/>
      <x:c r="P1791" s="13"/>
    </x:row>
    <x:row r="1792">
      <x:c r="E1792" s="13"/>
      <x:c r="F1792" s="13"/>
      <x:c r="G1792" s="13"/>
      <x:c r="H1792" s="13"/>
      <x:c r="I1792" s="13"/>
      <x:c r="J1792" s="13"/>
      <x:c r="K1792" s="13"/>
      <x:c r="L1792" s="13"/>
      <x:c r="M1792" s="13"/>
      <x:c r="N1792" s="13"/>
      <x:c r="O1792" s="13"/>
      <x:c r="P1792" s="13"/>
    </x:row>
    <x:row r="1793">
      <x:c r="E1793" s="13"/>
      <x:c r="F1793" s="13"/>
      <x:c r="G1793" s="13"/>
      <x:c r="H1793" s="13"/>
      <x:c r="I1793" s="13"/>
      <x:c r="J1793" s="13"/>
      <x:c r="K1793" s="13"/>
      <x:c r="L1793" s="13"/>
      <x:c r="M1793" s="13"/>
      <x:c r="N1793" s="13"/>
      <x:c r="O1793" s="13"/>
      <x:c r="P1793" s="13"/>
    </x:row>
    <x:row r="1794">
      <x:c r="E1794" s="13"/>
      <x:c r="F1794" s="13"/>
      <x:c r="G1794" s="13"/>
      <x:c r="H1794" s="13"/>
      <x:c r="I1794" s="13"/>
      <x:c r="J1794" s="13"/>
      <x:c r="K1794" s="13"/>
      <x:c r="L1794" s="13"/>
      <x:c r="M1794" s="13"/>
      <x:c r="N1794" s="13"/>
      <x:c r="O1794" s="13"/>
      <x:c r="P1794" s="13"/>
    </x:row>
    <x:row r="1795">
      <x:c r="E1795" s="13"/>
      <x:c r="F1795" s="13"/>
      <x:c r="G1795" s="13"/>
      <x:c r="H1795" s="13"/>
      <x:c r="I1795" s="13"/>
      <x:c r="J1795" s="13"/>
      <x:c r="K1795" s="13"/>
      <x:c r="L1795" s="13"/>
      <x:c r="M1795" s="13"/>
      <x:c r="N1795" s="13"/>
      <x:c r="O1795" s="13"/>
      <x:c r="P1795" s="13"/>
    </x:row>
    <x:row r="1796">
      <x:c r="E1796" s="13"/>
      <x:c r="F1796" s="13"/>
      <x:c r="G1796" s="13"/>
      <x:c r="H1796" s="13"/>
      <x:c r="I1796" s="13"/>
      <x:c r="J1796" s="13"/>
      <x:c r="K1796" s="13"/>
      <x:c r="L1796" s="13"/>
      <x:c r="M1796" s="13"/>
      <x:c r="N1796" s="13"/>
      <x:c r="O1796" s="13"/>
      <x:c r="P1796" s="13"/>
    </x:row>
    <x:row r="1797">
      <x:c r="E1797" s="13"/>
      <x:c r="F1797" s="13"/>
      <x:c r="G1797" s="13"/>
      <x:c r="H1797" s="13"/>
      <x:c r="I1797" s="13"/>
      <x:c r="J1797" s="13"/>
      <x:c r="K1797" s="13"/>
      <x:c r="L1797" s="13"/>
      <x:c r="M1797" s="13"/>
      <x:c r="N1797" s="13"/>
      <x:c r="O1797" s="13"/>
      <x:c r="P1797" s="13"/>
    </x:row>
    <x:row r="1798">
      <x:c r="E1798" s="13"/>
      <x:c r="F1798" s="13"/>
      <x:c r="G1798" s="13"/>
      <x:c r="H1798" s="13"/>
      <x:c r="I1798" s="13"/>
      <x:c r="J1798" s="13"/>
      <x:c r="K1798" s="13"/>
      <x:c r="L1798" s="13"/>
      <x:c r="M1798" s="13"/>
      <x:c r="N1798" s="13"/>
      <x:c r="O1798" s="13"/>
      <x:c r="P1798" s="13"/>
    </x:row>
    <x:row r="1799">
      <x:c r="E1799" s="13"/>
      <x:c r="F1799" s="13"/>
      <x:c r="G1799" s="13"/>
      <x:c r="H1799" s="13"/>
      <x:c r="I1799" s="13"/>
      <x:c r="J1799" s="13"/>
      <x:c r="K1799" s="13"/>
      <x:c r="L1799" s="13"/>
      <x:c r="M1799" s="13"/>
      <x:c r="N1799" s="13"/>
      <x:c r="O1799" s="13"/>
      <x:c r="P1799" s="13"/>
    </x:row>
    <x:row r="1800">
      <x:c r="E1800" s="13"/>
      <x:c r="F1800" s="13"/>
      <x:c r="G1800" s="13"/>
      <x:c r="H1800" s="13"/>
      <x:c r="I1800" s="13"/>
      <x:c r="J1800" s="13"/>
      <x:c r="K1800" s="13"/>
      <x:c r="L1800" s="13"/>
      <x:c r="M1800" s="13"/>
      <x:c r="N1800" s="13"/>
      <x:c r="O1800" s="13"/>
      <x:c r="P1800" s="13"/>
    </x:row>
    <x:row r="1801">
      <x:c r="E1801" s="13"/>
      <x:c r="F1801" s="13"/>
      <x:c r="G1801" s="13"/>
      <x:c r="H1801" s="13"/>
      <x:c r="I1801" s="13"/>
      <x:c r="J1801" s="13"/>
      <x:c r="K1801" s="13"/>
      <x:c r="L1801" s="13"/>
      <x:c r="M1801" s="13"/>
      <x:c r="N1801" s="13"/>
      <x:c r="O1801" s="13"/>
      <x:c r="P1801" s="13"/>
    </x:row>
    <x:row r="1802">
      <x:c r="E1802" s="13"/>
      <x:c r="F1802" s="13"/>
      <x:c r="G1802" s="13"/>
      <x:c r="H1802" s="13"/>
      <x:c r="I1802" s="13"/>
      <x:c r="J1802" s="13"/>
      <x:c r="K1802" s="13"/>
      <x:c r="L1802" s="13"/>
      <x:c r="M1802" s="13"/>
      <x:c r="N1802" s="13"/>
      <x:c r="O1802" s="13"/>
      <x:c r="P1802" s="13"/>
    </x:row>
    <x:row r="1803">
      <x:c r="E1803" s="13"/>
      <x:c r="F1803" s="13"/>
      <x:c r="G1803" s="13"/>
      <x:c r="H1803" s="13"/>
      <x:c r="I1803" s="13"/>
      <x:c r="J1803" s="13"/>
      <x:c r="K1803" s="13"/>
      <x:c r="L1803" s="13"/>
      <x:c r="M1803" s="13"/>
      <x:c r="N1803" s="13"/>
      <x:c r="O1803" s="13"/>
      <x:c r="P1803" s="13"/>
    </x:row>
    <x:row r="1804">
      <x:c r="E1804" s="13"/>
      <x:c r="F1804" s="13"/>
      <x:c r="G1804" s="13"/>
      <x:c r="H1804" s="13"/>
      <x:c r="I1804" s="13"/>
      <x:c r="J1804" s="13"/>
      <x:c r="K1804" s="13"/>
      <x:c r="L1804" s="13"/>
      <x:c r="M1804" s="13"/>
      <x:c r="N1804" s="13"/>
      <x:c r="O1804" s="13"/>
      <x:c r="P1804" s="13"/>
    </x:row>
    <x:row r="1805">
      <x:c r="E1805" s="13"/>
      <x:c r="F1805" s="13"/>
      <x:c r="G1805" s="13"/>
      <x:c r="H1805" s="13"/>
      <x:c r="I1805" s="13"/>
      <x:c r="J1805" s="13"/>
      <x:c r="K1805" s="13"/>
      <x:c r="L1805" s="13"/>
      <x:c r="M1805" s="13"/>
      <x:c r="N1805" s="13"/>
      <x:c r="O1805" s="13"/>
      <x:c r="P1805" s="13"/>
    </x:row>
    <x:row r="1806">
      <x:c r="E1806" s="13"/>
      <x:c r="F1806" s="13"/>
      <x:c r="G1806" s="13"/>
      <x:c r="H1806" s="13"/>
      <x:c r="I1806" s="13"/>
      <x:c r="J1806" s="13"/>
      <x:c r="K1806" s="13"/>
      <x:c r="L1806" s="13"/>
      <x:c r="M1806" s="13"/>
      <x:c r="N1806" s="13"/>
      <x:c r="O1806" s="13"/>
      <x:c r="P1806" s="13"/>
    </x:row>
    <x:row r="1807">
      <x:c r="E1807" s="13"/>
      <x:c r="F1807" s="13"/>
      <x:c r="G1807" s="13"/>
      <x:c r="H1807" s="13"/>
      <x:c r="I1807" s="13"/>
      <x:c r="J1807" s="13"/>
      <x:c r="K1807" s="13"/>
      <x:c r="L1807" s="13"/>
      <x:c r="M1807" s="13"/>
      <x:c r="N1807" s="13"/>
      <x:c r="O1807" s="13"/>
      <x:c r="P1807" s="13"/>
    </x:row>
    <x:row r="1808">
      <x:c r="E1808" s="13"/>
      <x:c r="F1808" s="13"/>
      <x:c r="G1808" s="13"/>
      <x:c r="H1808" s="13"/>
      <x:c r="I1808" s="13"/>
      <x:c r="J1808" s="13"/>
      <x:c r="K1808" s="13"/>
      <x:c r="L1808" s="13"/>
      <x:c r="M1808" s="13"/>
      <x:c r="N1808" s="13"/>
      <x:c r="O1808" s="13"/>
      <x:c r="P1808" s="13"/>
    </x:row>
    <x:row r="1809">
      <x:c r="E1809" s="13"/>
      <x:c r="F1809" s="13"/>
      <x:c r="G1809" s="13"/>
      <x:c r="H1809" s="13"/>
      <x:c r="I1809" s="13"/>
      <x:c r="J1809" s="13"/>
      <x:c r="K1809" s="13"/>
      <x:c r="L1809" s="13"/>
      <x:c r="M1809" s="13"/>
      <x:c r="N1809" s="13"/>
      <x:c r="O1809" s="13"/>
      <x:c r="P1809" s="13"/>
    </x:row>
    <x:row r="1810">
      <x:c r="E1810" s="13"/>
      <x:c r="F1810" s="13"/>
      <x:c r="G1810" s="13"/>
      <x:c r="H1810" s="13"/>
      <x:c r="I1810" s="13"/>
      <x:c r="J1810" s="13"/>
      <x:c r="K1810" s="13"/>
      <x:c r="L1810" s="13"/>
      <x:c r="M1810" s="13"/>
      <x:c r="N1810" s="13"/>
      <x:c r="O1810" s="13"/>
      <x:c r="P1810" s="13"/>
    </x:row>
    <x:row r="1811">
      <x:c r="E1811" s="13"/>
      <x:c r="F1811" s="13"/>
      <x:c r="G1811" s="13"/>
      <x:c r="H1811" s="13"/>
      <x:c r="I1811" s="13"/>
      <x:c r="J1811" s="13"/>
      <x:c r="K1811" s="13"/>
      <x:c r="L1811" s="13"/>
      <x:c r="M1811" s="13"/>
      <x:c r="N1811" s="13"/>
      <x:c r="O1811" s="13"/>
      <x:c r="P1811" s="13"/>
    </x:row>
    <x:row r="1812">
      <x:c r="E1812" s="13"/>
      <x:c r="F1812" s="13"/>
      <x:c r="G1812" s="13"/>
      <x:c r="H1812" s="13"/>
      <x:c r="I1812" s="13"/>
      <x:c r="J1812" s="13"/>
      <x:c r="K1812" s="13"/>
      <x:c r="L1812" s="13"/>
      <x:c r="M1812" s="13"/>
      <x:c r="N1812" s="13"/>
      <x:c r="O1812" s="13"/>
      <x:c r="P1812" s="13"/>
    </x:row>
    <x:row r="1813">
      <x:c r="E1813" s="13"/>
      <x:c r="F1813" s="13"/>
      <x:c r="G1813" s="13"/>
      <x:c r="H1813" s="13"/>
      <x:c r="I1813" s="13"/>
      <x:c r="J1813" s="13"/>
      <x:c r="K1813" s="13"/>
      <x:c r="L1813" s="13"/>
      <x:c r="M1813" s="13"/>
      <x:c r="N1813" s="13"/>
      <x:c r="O1813" s="13"/>
      <x:c r="P1813" s="13"/>
    </x:row>
    <x:row r="1814">
      <x:c r="E1814" s="13"/>
      <x:c r="F1814" s="13"/>
      <x:c r="G1814" s="13"/>
      <x:c r="H1814" s="13"/>
      <x:c r="I1814" s="13"/>
      <x:c r="J1814" s="13"/>
      <x:c r="K1814" s="13"/>
      <x:c r="L1814" s="13"/>
      <x:c r="M1814" s="13"/>
      <x:c r="N1814" s="13"/>
      <x:c r="O1814" s="13"/>
      <x:c r="P1814" s="13"/>
    </x:row>
    <x:row r="1815">
      <x:c r="E1815" s="13"/>
      <x:c r="F1815" s="13"/>
      <x:c r="G1815" s="13"/>
      <x:c r="H1815" s="13"/>
      <x:c r="I1815" s="13"/>
      <x:c r="J1815" s="13"/>
      <x:c r="K1815" s="13"/>
      <x:c r="L1815" s="13"/>
      <x:c r="M1815" s="13"/>
      <x:c r="N1815" s="13"/>
      <x:c r="O1815" s="13"/>
      <x:c r="P1815" s="13"/>
    </x:row>
    <x:row r="1816">
      <x:c r="E1816" s="13"/>
      <x:c r="F1816" s="13"/>
      <x:c r="G1816" s="13"/>
      <x:c r="H1816" s="13"/>
      <x:c r="I1816" s="13"/>
      <x:c r="J1816" s="13"/>
      <x:c r="K1816" s="13"/>
      <x:c r="L1816" s="13"/>
      <x:c r="M1816" s="13"/>
      <x:c r="N1816" s="13"/>
      <x:c r="O1816" s="13"/>
      <x:c r="P1816" s="13"/>
    </x:row>
    <x:row r="1817">
      <x:c r="E1817" s="13"/>
      <x:c r="F1817" s="13"/>
      <x:c r="G1817" s="13"/>
      <x:c r="H1817" s="13"/>
      <x:c r="I1817" s="13"/>
      <x:c r="J1817" s="13"/>
      <x:c r="K1817" s="13"/>
      <x:c r="L1817" s="13"/>
      <x:c r="M1817" s="13"/>
      <x:c r="N1817" s="13"/>
      <x:c r="O1817" s="13"/>
      <x:c r="P1817" s="13"/>
    </x:row>
    <x:row r="1818">
      <x:c r="E1818" s="13"/>
      <x:c r="F1818" s="13"/>
      <x:c r="G1818" s="13"/>
      <x:c r="H1818" s="13"/>
      <x:c r="I1818" s="13"/>
      <x:c r="J1818" s="13"/>
      <x:c r="K1818" s="13"/>
      <x:c r="L1818" s="13"/>
      <x:c r="M1818" s="13"/>
      <x:c r="N1818" s="13"/>
      <x:c r="O1818" s="13"/>
      <x:c r="P1818" s="13"/>
    </x:row>
    <x:row r="1819">
      <x:c r="E1819" s="13"/>
      <x:c r="F1819" s="13"/>
      <x:c r="G1819" s="13"/>
      <x:c r="H1819" s="13"/>
      <x:c r="I1819" s="13"/>
      <x:c r="J1819" s="13"/>
      <x:c r="K1819" s="13"/>
      <x:c r="L1819" s="13"/>
      <x:c r="M1819" s="13"/>
      <x:c r="N1819" s="13"/>
      <x:c r="O1819" s="13"/>
      <x:c r="P1819" s="13"/>
    </x:row>
    <x:row r="1820">
      <x:c r="E1820" s="13"/>
      <x:c r="F1820" s="13"/>
      <x:c r="G1820" s="13"/>
      <x:c r="H1820" s="13"/>
      <x:c r="I1820" s="13"/>
      <x:c r="J1820" s="13"/>
      <x:c r="K1820" s="13"/>
      <x:c r="L1820" s="13"/>
      <x:c r="M1820" s="13"/>
      <x:c r="N1820" s="13"/>
      <x:c r="O1820" s="13"/>
      <x:c r="P1820" s="13"/>
    </x:row>
    <x:row r="1821">
      <x:c r="E1821" s="13"/>
      <x:c r="F1821" s="13"/>
      <x:c r="G1821" s="13"/>
      <x:c r="H1821" s="13"/>
      <x:c r="I1821" s="13"/>
      <x:c r="J1821" s="13"/>
      <x:c r="K1821" s="13"/>
      <x:c r="L1821" s="13"/>
      <x:c r="M1821" s="13"/>
      <x:c r="N1821" s="13"/>
      <x:c r="O1821" s="13"/>
      <x:c r="P1821" s="13"/>
    </x:row>
    <x:row r="1822">
      <x:c r="E1822" s="13"/>
      <x:c r="F1822" s="13"/>
      <x:c r="G1822" s="13"/>
      <x:c r="H1822" s="13"/>
      <x:c r="I1822" s="13"/>
      <x:c r="J1822" s="13"/>
      <x:c r="K1822" s="13"/>
      <x:c r="L1822" s="13"/>
      <x:c r="M1822" s="13"/>
      <x:c r="N1822" s="13"/>
      <x:c r="O1822" s="13"/>
      <x:c r="P1822" s="13"/>
    </x:row>
    <x:row r="1823">
      <x:c r="E1823" s="13"/>
      <x:c r="F1823" s="13"/>
      <x:c r="G1823" s="13"/>
      <x:c r="H1823" s="13"/>
      <x:c r="I1823" s="13"/>
      <x:c r="J1823" s="13"/>
      <x:c r="K1823" s="13"/>
      <x:c r="L1823" s="13"/>
      <x:c r="M1823" s="13"/>
      <x:c r="N1823" s="13"/>
      <x:c r="O1823" s="13"/>
      <x:c r="P1823" s="13"/>
    </x:row>
    <x:row r="1824">
      <x:c r="E1824" s="13"/>
      <x:c r="F1824" s="13"/>
      <x:c r="G1824" s="13"/>
      <x:c r="H1824" s="13"/>
      <x:c r="I1824" s="13"/>
      <x:c r="J1824" s="13"/>
      <x:c r="K1824" s="13"/>
      <x:c r="L1824" s="13"/>
      <x:c r="M1824" s="13"/>
      <x:c r="N1824" s="13"/>
      <x:c r="O1824" s="13"/>
      <x:c r="P1824" s="13"/>
    </x:row>
    <x:row r="1825">
      <x:c r="E1825" s="13"/>
      <x:c r="F1825" s="13"/>
      <x:c r="G1825" s="13"/>
      <x:c r="H1825" s="13"/>
      <x:c r="I1825" s="13"/>
      <x:c r="J1825" s="13"/>
      <x:c r="K1825" s="13"/>
      <x:c r="L1825" s="13"/>
      <x:c r="M1825" s="13"/>
      <x:c r="N1825" s="13"/>
      <x:c r="O1825" s="13"/>
      <x:c r="P1825" s="13"/>
    </x:row>
    <x:row r="1826">
      <x:c r="E1826" s="13"/>
      <x:c r="F1826" s="13"/>
      <x:c r="G1826" s="13"/>
      <x:c r="H1826" s="13"/>
      <x:c r="I1826" s="13"/>
      <x:c r="J1826" s="13"/>
      <x:c r="K1826" s="13"/>
      <x:c r="L1826" s="13"/>
      <x:c r="M1826" s="13"/>
      <x:c r="N1826" s="13"/>
      <x:c r="O1826" s="13"/>
      <x:c r="P1826" s="13"/>
    </x:row>
    <x:row r="1827">
      <x:c r="E1827" s="13"/>
      <x:c r="F1827" s="13"/>
      <x:c r="G1827" s="13"/>
      <x:c r="H1827" s="13"/>
      <x:c r="I1827" s="13"/>
      <x:c r="J1827" s="13"/>
      <x:c r="K1827" s="13"/>
      <x:c r="L1827" s="13"/>
      <x:c r="M1827" s="13"/>
      <x:c r="N1827" s="13"/>
      <x:c r="O1827" s="13"/>
      <x:c r="P1827" s="13"/>
    </x:row>
    <x:row r="1828">
      <x:c r="E1828" s="13"/>
      <x:c r="F1828" s="13"/>
      <x:c r="G1828" s="13"/>
      <x:c r="H1828" s="13"/>
      <x:c r="I1828" s="13"/>
      <x:c r="J1828" s="13"/>
      <x:c r="K1828" s="13"/>
      <x:c r="L1828" s="13"/>
      <x:c r="M1828" s="13"/>
      <x:c r="N1828" s="13"/>
      <x:c r="O1828" s="13"/>
      <x:c r="P1828" s="13"/>
    </x:row>
    <x:row r="1829">
      <x:c r="E1829" s="13"/>
      <x:c r="F1829" s="13"/>
      <x:c r="G1829" s="13"/>
      <x:c r="H1829" s="13"/>
      <x:c r="I1829" s="13"/>
      <x:c r="J1829" s="13"/>
      <x:c r="K1829" s="13"/>
      <x:c r="L1829" s="13"/>
      <x:c r="M1829" s="13"/>
      <x:c r="N1829" s="13"/>
      <x:c r="O1829" s="13"/>
      <x:c r="P1829" s="13"/>
    </x:row>
    <x:row r="1830">
      <x:c r="E1830" s="13"/>
      <x:c r="F1830" s="13"/>
      <x:c r="G1830" s="13"/>
      <x:c r="H1830" s="13"/>
      <x:c r="I1830" s="13"/>
      <x:c r="J1830" s="13"/>
      <x:c r="K1830" s="13"/>
      <x:c r="L1830" s="13"/>
      <x:c r="M1830" s="13"/>
      <x:c r="N1830" s="13"/>
      <x:c r="O1830" s="13"/>
      <x:c r="P1830" s="13"/>
    </x:row>
    <x:row r="1831">
      <x:c r="E1831" s="13"/>
      <x:c r="F1831" s="13"/>
      <x:c r="G1831" s="13"/>
      <x:c r="H1831" s="13"/>
      <x:c r="I1831" s="13"/>
      <x:c r="J1831" s="13"/>
      <x:c r="K1831" s="13"/>
      <x:c r="L1831" s="13"/>
      <x:c r="M1831" s="13"/>
      <x:c r="N1831" s="13"/>
      <x:c r="O1831" s="13"/>
      <x:c r="P1831" s="13"/>
    </x:row>
    <x:row r="1832">
      <x:c r="E1832" s="13"/>
      <x:c r="F1832" s="13"/>
      <x:c r="G1832" s="13"/>
      <x:c r="H1832" s="13"/>
      <x:c r="I1832" s="13"/>
      <x:c r="J1832" s="13"/>
      <x:c r="K1832" s="13"/>
      <x:c r="L1832" s="13"/>
      <x:c r="M1832" s="13"/>
      <x:c r="N1832" s="13"/>
      <x:c r="O1832" s="13"/>
      <x:c r="P1832" s="13"/>
    </x:row>
    <x:row r="1833">
      <x:c r="E1833" s="13"/>
      <x:c r="F1833" s="13"/>
      <x:c r="G1833" s="13"/>
      <x:c r="H1833" s="13"/>
      <x:c r="I1833" s="13"/>
      <x:c r="J1833" s="13"/>
      <x:c r="K1833" s="13"/>
      <x:c r="L1833" s="13"/>
      <x:c r="M1833" s="13"/>
      <x:c r="N1833" s="13"/>
      <x:c r="O1833" s="13"/>
      <x:c r="P1833" s="13"/>
    </x:row>
    <x:row r="1834">
      <x:c r="E1834" s="13"/>
      <x:c r="F1834" s="13"/>
      <x:c r="G1834" s="13"/>
      <x:c r="H1834" s="13"/>
      <x:c r="I1834" s="13"/>
      <x:c r="J1834" s="13"/>
      <x:c r="K1834" s="13"/>
      <x:c r="L1834" s="13"/>
      <x:c r="M1834" s="13"/>
      <x:c r="N1834" s="13"/>
      <x:c r="O1834" s="13"/>
      <x:c r="P1834" s="13"/>
    </x:row>
    <x:row r="1835">
      <x:c r="E1835" s="13"/>
      <x:c r="F1835" s="13"/>
      <x:c r="G1835" s="13"/>
      <x:c r="H1835" s="13"/>
      <x:c r="I1835" s="13"/>
      <x:c r="J1835" s="13"/>
      <x:c r="K1835" s="13"/>
      <x:c r="L1835" s="13"/>
      <x:c r="M1835" s="13"/>
      <x:c r="N1835" s="13"/>
      <x:c r="O1835" s="13"/>
      <x:c r="P1835" s="13"/>
    </x:row>
    <x:row r="1836">
      <x:c r="E1836" s="13"/>
      <x:c r="F1836" s="13"/>
      <x:c r="G1836" s="13"/>
      <x:c r="H1836" s="13"/>
      <x:c r="I1836" s="13"/>
      <x:c r="J1836" s="13"/>
      <x:c r="K1836" s="13"/>
      <x:c r="L1836" s="13"/>
      <x:c r="M1836" s="13"/>
      <x:c r="N1836" s="13"/>
      <x:c r="O1836" s="13"/>
      <x:c r="P1836" s="13"/>
    </x:row>
    <x:row r="1837">
      <x:c r="E1837" s="13"/>
      <x:c r="F1837" s="13"/>
      <x:c r="G1837" s="13"/>
      <x:c r="H1837" s="13"/>
      <x:c r="I1837" s="13"/>
      <x:c r="J1837" s="13"/>
      <x:c r="K1837" s="13"/>
      <x:c r="L1837" s="13"/>
      <x:c r="M1837" s="13"/>
      <x:c r="N1837" s="13"/>
      <x:c r="O1837" s="13"/>
      <x:c r="P1837" s="13"/>
    </x:row>
    <x:row r="1838">
      <x:c r="E1838" s="13"/>
      <x:c r="F1838" s="13"/>
      <x:c r="G1838" s="13"/>
      <x:c r="H1838" s="13"/>
      <x:c r="I1838" s="13"/>
      <x:c r="J1838" s="13"/>
      <x:c r="K1838" s="13"/>
      <x:c r="L1838" s="13"/>
      <x:c r="M1838" s="13"/>
      <x:c r="N1838" s="13"/>
      <x:c r="O1838" s="13"/>
      <x:c r="P1838" s="13"/>
    </x:row>
    <x:row r="1839">
      <x:c r="E1839" s="13"/>
      <x:c r="F1839" s="13"/>
      <x:c r="G1839" s="13"/>
      <x:c r="H1839" s="13"/>
      <x:c r="I1839" s="13"/>
      <x:c r="J1839" s="13"/>
      <x:c r="K1839" s="13"/>
      <x:c r="L1839" s="13"/>
      <x:c r="M1839" s="13"/>
      <x:c r="N1839" s="13"/>
      <x:c r="O1839" s="13"/>
      <x:c r="P1839" s="13"/>
    </x:row>
    <x:row r="1840">
      <x:c r="E1840" s="13"/>
      <x:c r="F1840" s="13"/>
      <x:c r="G1840" s="13"/>
      <x:c r="H1840" s="13"/>
      <x:c r="I1840" s="13"/>
      <x:c r="J1840" s="13"/>
      <x:c r="K1840" s="13"/>
      <x:c r="L1840" s="13"/>
      <x:c r="M1840" s="13"/>
      <x:c r="N1840" s="13"/>
      <x:c r="O1840" s="13"/>
      <x:c r="P1840" s="13"/>
    </x:row>
    <x:row r="1841">
      <x:c r="E1841" s="13"/>
      <x:c r="F1841" s="13"/>
      <x:c r="G1841" s="13"/>
      <x:c r="H1841" s="13"/>
      <x:c r="I1841" s="13"/>
      <x:c r="J1841" s="13"/>
      <x:c r="K1841" s="13"/>
      <x:c r="L1841" s="13"/>
      <x:c r="M1841" s="13"/>
      <x:c r="N1841" s="13"/>
      <x:c r="O1841" s="13"/>
      <x:c r="P1841" s="13"/>
    </x:row>
    <x:row r="1842">
      <x:c r="E1842" s="13"/>
      <x:c r="F1842" s="13"/>
      <x:c r="G1842" s="13"/>
      <x:c r="H1842" s="13"/>
      <x:c r="I1842" s="13"/>
      <x:c r="J1842" s="13"/>
      <x:c r="K1842" s="13"/>
      <x:c r="L1842" s="13"/>
      <x:c r="M1842" s="13"/>
      <x:c r="N1842" s="13"/>
      <x:c r="O1842" s="13"/>
      <x:c r="P1842" s="13"/>
    </x:row>
    <x:row r="1843">
      <x:c r="E1843" s="13"/>
      <x:c r="F1843" s="13"/>
      <x:c r="G1843" s="13"/>
      <x:c r="H1843" s="13"/>
      <x:c r="I1843" s="13"/>
      <x:c r="J1843" s="13"/>
      <x:c r="K1843" s="13"/>
      <x:c r="L1843" s="13"/>
      <x:c r="M1843" s="13"/>
      <x:c r="N1843" s="13"/>
      <x:c r="O1843" s="13"/>
      <x:c r="P1843" s="13"/>
    </x:row>
    <x:row r="1844">
      <x:c r="E1844" s="13"/>
      <x:c r="F1844" s="13"/>
      <x:c r="G1844" s="13"/>
      <x:c r="H1844" s="13"/>
      <x:c r="I1844" s="13"/>
      <x:c r="J1844" s="13"/>
      <x:c r="K1844" s="13"/>
      <x:c r="L1844" s="13"/>
      <x:c r="M1844" s="13"/>
      <x:c r="N1844" s="13"/>
      <x:c r="O1844" s="13"/>
      <x:c r="P1844" s="13"/>
    </x:row>
    <x:row r="1845">
      <x:c r="E1845" s="13"/>
      <x:c r="F1845" s="13"/>
      <x:c r="G1845" s="13"/>
      <x:c r="H1845" s="13"/>
      <x:c r="I1845" s="13"/>
      <x:c r="J1845" s="13"/>
      <x:c r="K1845" s="13"/>
      <x:c r="L1845" s="13"/>
      <x:c r="M1845" s="13"/>
      <x:c r="N1845" s="13"/>
      <x:c r="O1845" s="13"/>
      <x:c r="P1845" s="13"/>
    </x:row>
    <x:row r="1846">
      <x:c r="E1846" s="13"/>
      <x:c r="F1846" s="13"/>
      <x:c r="G1846" s="13"/>
      <x:c r="H1846" s="13"/>
      <x:c r="I1846" s="13"/>
      <x:c r="J1846" s="13"/>
      <x:c r="K1846" s="13"/>
      <x:c r="L1846" s="13"/>
      <x:c r="M1846" s="13"/>
      <x:c r="N1846" s="13"/>
      <x:c r="O1846" s="13"/>
      <x:c r="P1846" s="13"/>
    </x:row>
    <x:row r="1847">
      <x:c r="E1847" s="13"/>
      <x:c r="F1847" s="13"/>
      <x:c r="G1847" s="13"/>
      <x:c r="H1847" s="13"/>
      <x:c r="I1847" s="13"/>
      <x:c r="J1847" s="13"/>
      <x:c r="K1847" s="13"/>
      <x:c r="L1847" s="13"/>
      <x:c r="M1847" s="13"/>
      <x:c r="N1847" s="13"/>
      <x:c r="O1847" s="13"/>
      <x:c r="P1847" s="13"/>
    </x:row>
    <x:row r="1848">
      <x:c r="E1848" s="13"/>
      <x:c r="F1848" s="13"/>
      <x:c r="G1848" s="13"/>
      <x:c r="H1848" s="13"/>
      <x:c r="I1848" s="13"/>
      <x:c r="J1848" s="13"/>
      <x:c r="K1848" s="13"/>
      <x:c r="L1848" s="13"/>
      <x:c r="M1848" s="13"/>
      <x:c r="N1848" s="13"/>
      <x:c r="O1848" s="13"/>
      <x:c r="P1848" s="13"/>
    </x:row>
    <x:row r="1849">
      <x:c r="E1849" s="13"/>
      <x:c r="F1849" s="13"/>
      <x:c r="G1849" s="13"/>
      <x:c r="H1849" s="13"/>
      <x:c r="I1849" s="13"/>
      <x:c r="J1849" s="13"/>
      <x:c r="K1849" s="13"/>
      <x:c r="L1849" s="13"/>
      <x:c r="M1849" s="13"/>
      <x:c r="N1849" s="13"/>
      <x:c r="O1849" s="13"/>
      <x:c r="P1849" s="13"/>
    </x:row>
    <x:row r="1850">
      <x:c r="E1850" s="13"/>
      <x:c r="F1850" s="13"/>
      <x:c r="G1850" s="13"/>
      <x:c r="H1850" s="13"/>
      <x:c r="I1850" s="13"/>
      <x:c r="J1850" s="13"/>
      <x:c r="K1850" s="13"/>
      <x:c r="L1850" s="13"/>
      <x:c r="M1850" s="13"/>
      <x:c r="N1850" s="13"/>
      <x:c r="O1850" s="13"/>
      <x:c r="P1850" s="13"/>
    </x:row>
    <x:row r="1851">
      <x:c r="E1851" s="13"/>
      <x:c r="F1851" s="13"/>
      <x:c r="G1851" s="13"/>
      <x:c r="H1851" s="13"/>
      <x:c r="I1851" s="13"/>
      <x:c r="J1851" s="13"/>
      <x:c r="K1851" s="13"/>
      <x:c r="L1851" s="13"/>
      <x:c r="M1851" s="13"/>
      <x:c r="N1851" s="13"/>
      <x:c r="O1851" s="13"/>
      <x:c r="P1851" s="13"/>
    </x:row>
    <x:row r="1852">
      <x:c r="E1852" s="13"/>
      <x:c r="F1852" s="13"/>
      <x:c r="G1852" s="13"/>
      <x:c r="H1852" s="13"/>
      <x:c r="I1852" s="13"/>
      <x:c r="J1852" s="13"/>
      <x:c r="K1852" s="13"/>
      <x:c r="L1852" s="13"/>
      <x:c r="M1852" s="13"/>
      <x:c r="N1852" s="13"/>
      <x:c r="O1852" s="13"/>
      <x:c r="P1852" s="13"/>
    </x:row>
    <x:row r="1853">
      <x:c r="E1853" s="13"/>
      <x:c r="F1853" s="13"/>
      <x:c r="G1853" s="13"/>
      <x:c r="H1853" s="13"/>
      <x:c r="I1853" s="13"/>
      <x:c r="J1853" s="13"/>
      <x:c r="K1853" s="13"/>
      <x:c r="L1853" s="13"/>
      <x:c r="M1853" s="13"/>
      <x:c r="N1853" s="13"/>
      <x:c r="O1853" s="13"/>
      <x:c r="P1853" s="13"/>
    </x:row>
    <x:row r="1854">
      <x:c r="E1854" s="13"/>
      <x:c r="F1854" s="13"/>
      <x:c r="G1854" s="13"/>
      <x:c r="H1854" s="13"/>
      <x:c r="I1854" s="13"/>
      <x:c r="J1854" s="13"/>
      <x:c r="K1854" s="13"/>
      <x:c r="L1854" s="13"/>
      <x:c r="M1854" s="13"/>
      <x:c r="N1854" s="13"/>
      <x:c r="O1854" s="13"/>
      <x:c r="P1854" s="13"/>
    </x:row>
    <x:row r="1855">
      <x:c r="E1855" s="13"/>
      <x:c r="F1855" s="13"/>
      <x:c r="G1855" s="13"/>
      <x:c r="H1855" s="13"/>
      <x:c r="I1855" s="13"/>
      <x:c r="J1855" s="13"/>
      <x:c r="K1855" s="13"/>
      <x:c r="L1855" s="13"/>
      <x:c r="M1855" s="13"/>
      <x:c r="N1855" s="13"/>
      <x:c r="O1855" s="13"/>
      <x:c r="P1855" s="13"/>
    </x:row>
    <x:row r="1856">
      <x:c r="E1856" s="13"/>
      <x:c r="F1856" s="13"/>
      <x:c r="G1856" s="13"/>
      <x:c r="H1856" s="13"/>
      <x:c r="I1856" s="13"/>
      <x:c r="J1856" s="13"/>
      <x:c r="K1856" s="13"/>
      <x:c r="L1856" s="13"/>
      <x:c r="M1856" s="13"/>
      <x:c r="N1856" s="13"/>
      <x:c r="O1856" s="13"/>
      <x:c r="P1856" s="13"/>
    </x:row>
    <x:row r="1857">
      <x:c r="E1857" s="13"/>
      <x:c r="F1857" s="13"/>
      <x:c r="G1857" s="13"/>
      <x:c r="H1857" s="13"/>
      <x:c r="I1857" s="13"/>
      <x:c r="J1857" s="13"/>
      <x:c r="K1857" s="13"/>
      <x:c r="L1857" s="13"/>
      <x:c r="M1857" s="13"/>
      <x:c r="N1857" s="13"/>
      <x:c r="O1857" s="13"/>
      <x:c r="P1857" s="13"/>
    </x:row>
    <x:row r="1858">
      <x:c r="E1858" s="13"/>
      <x:c r="F1858" s="13"/>
      <x:c r="G1858" s="13"/>
      <x:c r="H1858" s="13"/>
      <x:c r="I1858" s="13"/>
      <x:c r="J1858" s="13"/>
      <x:c r="K1858" s="13"/>
      <x:c r="L1858" s="13"/>
      <x:c r="M1858" s="13"/>
      <x:c r="N1858" s="13"/>
      <x:c r="O1858" s="13"/>
      <x:c r="P1858" s="13"/>
    </x:row>
    <x:row r="1859">
      <x:c r="E1859" s="13"/>
      <x:c r="F1859" s="13"/>
      <x:c r="G1859" s="13"/>
      <x:c r="H1859" s="13"/>
      <x:c r="I1859" s="13"/>
      <x:c r="J1859" s="13"/>
      <x:c r="K1859" s="13"/>
      <x:c r="L1859" s="13"/>
      <x:c r="M1859" s="13"/>
      <x:c r="N1859" s="13"/>
      <x:c r="O1859" s="13"/>
      <x:c r="P1859" s="13"/>
    </x:row>
    <x:row r="1860">
      <x:c r="E1860" s="13"/>
      <x:c r="F1860" s="13"/>
      <x:c r="G1860" s="13"/>
      <x:c r="H1860" s="13"/>
      <x:c r="I1860" s="13"/>
      <x:c r="J1860" s="13"/>
      <x:c r="K1860" s="13"/>
      <x:c r="L1860" s="13"/>
      <x:c r="M1860" s="13"/>
      <x:c r="N1860" s="13"/>
      <x:c r="O1860" s="13"/>
      <x:c r="P1860" s="13"/>
    </x:row>
    <x:row r="1861">
      <x:c r="E1861" s="13"/>
      <x:c r="F1861" s="13"/>
      <x:c r="G1861" s="13"/>
      <x:c r="H1861" s="13"/>
      <x:c r="I1861" s="13"/>
      <x:c r="J1861" s="13"/>
      <x:c r="K1861" s="13"/>
      <x:c r="L1861" s="13"/>
      <x:c r="M1861" s="13"/>
      <x:c r="N1861" s="13"/>
      <x:c r="O1861" s="13"/>
      <x:c r="P1861" s="13"/>
    </x:row>
    <x:row r="1862">
      <x:c r="E1862" s="13"/>
      <x:c r="F1862" s="13"/>
      <x:c r="G1862" s="13"/>
      <x:c r="H1862" s="13"/>
      <x:c r="I1862" s="13"/>
      <x:c r="J1862" s="13"/>
      <x:c r="K1862" s="13"/>
      <x:c r="L1862" s="13"/>
      <x:c r="M1862" s="13"/>
      <x:c r="N1862" s="13"/>
      <x:c r="O1862" s="13"/>
      <x:c r="P1862" s="13"/>
    </x:row>
    <x:row r="1863">
      <x:c r="E1863" s="13"/>
      <x:c r="F1863" s="13"/>
      <x:c r="G1863" s="13"/>
      <x:c r="H1863" s="13"/>
      <x:c r="I1863" s="13"/>
      <x:c r="J1863" s="13"/>
      <x:c r="K1863" s="13"/>
      <x:c r="L1863" s="13"/>
      <x:c r="M1863" s="13"/>
      <x:c r="N1863" s="13"/>
      <x:c r="O1863" s="13"/>
      <x:c r="P1863" s="13"/>
    </x:row>
    <x:row r="1864">
      <x:c r="E1864" s="13"/>
      <x:c r="F1864" s="13"/>
      <x:c r="G1864" s="13"/>
      <x:c r="H1864" s="13"/>
      <x:c r="I1864" s="13"/>
      <x:c r="J1864" s="13"/>
      <x:c r="K1864" s="13"/>
      <x:c r="L1864" s="13"/>
      <x:c r="M1864" s="13"/>
      <x:c r="N1864" s="13"/>
      <x:c r="O1864" s="13"/>
      <x:c r="P1864" s="13"/>
    </x:row>
    <x:row r="1865">
      <x:c r="E1865" s="13"/>
      <x:c r="F1865" s="13"/>
      <x:c r="G1865" s="13"/>
      <x:c r="H1865" s="13"/>
      <x:c r="I1865" s="13"/>
      <x:c r="J1865" s="13"/>
      <x:c r="K1865" s="13"/>
      <x:c r="L1865" s="13"/>
      <x:c r="M1865" s="13"/>
      <x:c r="N1865" s="13"/>
      <x:c r="O1865" s="13"/>
      <x:c r="P1865" s="13"/>
    </x:row>
    <x:row r="1866">
      <x:c r="E1866" s="13"/>
      <x:c r="F1866" s="13"/>
      <x:c r="G1866" s="13"/>
      <x:c r="H1866" s="13"/>
      <x:c r="I1866" s="13"/>
      <x:c r="J1866" s="13"/>
      <x:c r="K1866" s="13"/>
      <x:c r="L1866" s="13"/>
      <x:c r="M1866" s="13"/>
      <x:c r="N1866" s="13"/>
      <x:c r="O1866" s="13"/>
      <x:c r="P1866" s="13"/>
    </x:row>
    <x:row r="1867">
      <x:c r="E1867" s="13"/>
      <x:c r="F1867" s="13"/>
      <x:c r="G1867" s="13"/>
      <x:c r="H1867" s="13"/>
      <x:c r="I1867" s="13"/>
      <x:c r="J1867" s="13"/>
      <x:c r="K1867" s="13"/>
      <x:c r="L1867" s="13"/>
      <x:c r="M1867" s="13"/>
      <x:c r="N1867" s="13"/>
      <x:c r="O1867" s="13"/>
      <x:c r="P1867" s="13"/>
    </x:row>
    <x:row r="1868">
      <x:c r="E1868" s="13"/>
      <x:c r="F1868" s="13"/>
      <x:c r="G1868" s="13"/>
      <x:c r="H1868" s="13"/>
      <x:c r="I1868" s="13"/>
      <x:c r="J1868" s="13"/>
      <x:c r="K1868" s="13"/>
      <x:c r="L1868" s="13"/>
      <x:c r="M1868" s="13"/>
      <x:c r="N1868" s="13"/>
      <x:c r="O1868" s="13"/>
      <x:c r="P1868" s="13"/>
    </x:row>
    <x:row r="1869">
      <x:c r="E1869" s="13"/>
      <x:c r="F1869" s="13"/>
      <x:c r="G1869" s="13"/>
      <x:c r="H1869" s="13"/>
      <x:c r="I1869" s="13"/>
      <x:c r="J1869" s="13"/>
      <x:c r="K1869" s="13"/>
      <x:c r="L1869" s="13"/>
      <x:c r="M1869" s="13"/>
      <x:c r="N1869" s="13"/>
      <x:c r="O1869" s="13"/>
      <x:c r="P1869" s="13"/>
    </x:row>
    <x:row r="1870">
      <x:c r="E1870" s="13"/>
      <x:c r="F1870" s="13"/>
      <x:c r="G1870" s="13"/>
      <x:c r="H1870" s="13"/>
      <x:c r="I1870" s="13"/>
      <x:c r="J1870" s="13"/>
      <x:c r="K1870" s="13"/>
      <x:c r="L1870" s="13"/>
      <x:c r="M1870" s="13"/>
      <x:c r="N1870" s="13"/>
      <x:c r="O1870" s="13"/>
      <x:c r="P1870" s="13"/>
    </x:row>
    <x:row r="1871">
      <x:c r="E1871" s="13"/>
      <x:c r="F1871" s="13"/>
      <x:c r="G1871" s="13"/>
      <x:c r="H1871" s="13"/>
      <x:c r="I1871" s="13"/>
      <x:c r="J1871" s="13"/>
      <x:c r="K1871" s="13"/>
      <x:c r="L1871" s="13"/>
      <x:c r="M1871" s="13"/>
      <x:c r="N1871" s="13"/>
      <x:c r="O1871" s="13"/>
      <x:c r="P1871" s="13"/>
    </x:row>
    <x:row r="1872">
      <x:c r="E1872" s="13"/>
      <x:c r="F1872" s="13"/>
      <x:c r="G1872" s="13"/>
      <x:c r="H1872" s="13"/>
      <x:c r="I1872" s="13"/>
      <x:c r="J1872" s="13"/>
      <x:c r="K1872" s="13"/>
      <x:c r="L1872" s="13"/>
      <x:c r="M1872" s="13"/>
      <x:c r="N1872" s="13"/>
      <x:c r="O1872" s="13"/>
      <x:c r="P1872" s="13"/>
    </x:row>
    <x:row r="1873">
      <x:c r="E1873" s="13"/>
      <x:c r="F1873" s="13"/>
      <x:c r="G1873" s="13"/>
      <x:c r="H1873" s="13"/>
      <x:c r="I1873" s="13"/>
      <x:c r="J1873" s="13"/>
      <x:c r="K1873" s="13"/>
      <x:c r="L1873" s="13"/>
      <x:c r="M1873" s="13"/>
      <x:c r="N1873" s="13"/>
      <x:c r="O1873" s="13"/>
      <x:c r="P1873" s="13"/>
    </x:row>
    <x:row r="1874">
      <x:c r="E1874" s="13"/>
      <x:c r="F1874" s="13"/>
      <x:c r="G1874" s="13"/>
      <x:c r="H1874" s="13"/>
      <x:c r="I1874" s="13"/>
      <x:c r="J1874" s="13"/>
      <x:c r="K1874" s="13"/>
      <x:c r="L1874" s="13"/>
      <x:c r="M1874" s="13"/>
      <x:c r="N1874" s="13"/>
      <x:c r="O1874" s="13"/>
      <x:c r="P1874" s="13"/>
    </x:row>
    <x:row r="1875">
      <x:c r="E1875" s="13"/>
      <x:c r="F1875" s="13"/>
      <x:c r="G1875" s="13"/>
      <x:c r="H1875" s="13"/>
      <x:c r="I1875" s="13"/>
      <x:c r="J1875" s="13"/>
      <x:c r="K1875" s="13"/>
      <x:c r="L1875" s="13"/>
      <x:c r="M1875" s="13"/>
      <x:c r="N1875" s="13"/>
      <x:c r="O1875" s="13"/>
      <x:c r="P1875" s="13"/>
    </x:row>
    <x:row r="1876">
      <x:c r="E1876" s="13"/>
      <x:c r="F1876" s="13"/>
      <x:c r="G1876" s="13"/>
      <x:c r="H1876" s="13"/>
      <x:c r="I1876" s="13"/>
      <x:c r="J1876" s="13"/>
      <x:c r="K1876" s="13"/>
      <x:c r="L1876" s="13"/>
      <x:c r="M1876" s="13"/>
      <x:c r="N1876" s="13"/>
      <x:c r="O1876" s="13"/>
      <x:c r="P1876" s="13"/>
    </x:row>
    <x:row r="1877">
      <x:c r="E1877" s="13"/>
      <x:c r="F1877" s="13"/>
      <x:c r="G1877" s="13"/>
      <x:c r="H1877" s="13"/>
      <x:c r="I1877" s="13"/>
      <x:c r="J1877" s="13"/>
      <x:c r="K1877" s="13"/>
      <x:c r="L1877" s="13"/>
      <x:c r="M1877" s="13"/>
      <x:c r="N1877" s="13"/>
      <x:c r="O1877" s="13"/>
      <x:c r="P1877" s="13"/>
    </x:row>
    <x:row r="1878">
      <x:c r="E1878" s="13"/>
      <x:c r="F1878" s="13"/>
      <x:c r="G1878" s="13"/>
      <x:c r="H1878" s="13"/>
      <x:c r="I1878" s="13"/>
      <x:c r="J1878" s="13"/>
      <x:c r="K1878" s="13"/>
      <x:c r="L1878" s="13"/>
      <x:c r="M1878" s="13"/>
      <x:c r="N1878" s="13"/>
      <x:c r="O1878" s="13"/>
      <x:c r="P1878" s="13"/>
    </x:row>
    <x:row r="1879">
      <x:c r="E1879" s="13"/>
      <x:c r="F1879" s="13"/>
      <x:c r="G1879" s="13"/>
      <x:c r="H1879" s="13"/>
      <x:c r="I1879" s="13"/>
      <x:c r="J1879" s="13"/>
      <x:c r="K1879" s="13"/>
      <x:c r="L1879" s="13"/>
      <x:c r="M1879" s="13"/>
      <x:c r="N1879" s="13"/>
      <x:c r="O1879" s="13"/>
      <x:c r="P1879" s="13"/>
    </x:row>
    <x:row r="1880">
      <x:c r="E1880" s="13"/>
      <x:c r="F1880" s="13"/>
      <x:c r="G1880" s="13"/>
      <x:c r="H1880" s="13"/>
      <x:c r="I1880" s="13"/>
      <x:c r="J1880" s="13"/>
      <x:c r="K1880" s="13"/>
      <x:c r="L1880" s="13"/>
      <x:c r="M1880" s="13"/>
      <x:c r="N1880" s="13"/>
      <x:c r="O1880" s="13"/>
      <x:c r="P1880" s="13"/>
    </x:row>
    <x:row r="1881">
      <x:c r="E1881" s="13"/>
      <x:c r="F1881" s="13"/>
      <x:c r="G1881" s="13"/>
      <x:c r="H1881" s="13"/>
      <x:c r="I1881" s="13"/>
      <x:c r="J1881" s="13"/>
      <x:c r="K1881" s="13"/>
      <x:c r="L1881" s="13"/>
      <x:c r="M1881" s="13"/>
      <x:c r="N1881" s="13"/>
      <x:c r="O1881" s="13"/>
      <x:c r="P1881" s="13"/>
    </x:row>
    <x:row r="1882">
      <x:c r="E1882" s="13"/>
      <x:c r="F1882" s="13"/>
      <x:c r="G1882" s="13"/>
      <x:c r="H1882" s="13"/>
      <x:c r="I1882" s="13"/>
      <x:c r="J1882" s="13"/>
      <x:c r="K1882" s="13"/>
      <x:c r="L1882" s="13"/>
      <x:c r="M1882" s="13"/>
      <x:c r="N1882" s="13"/>
      <x:c r="O1882" s="13"/>
      <x:c r="P1882" s="13"/>
    </x:row>
    <x:row r="1883">
      <x:c r="E1883" s="13"/>
      <x:c r="F1883" s="13"/>
      <x:c r="G1883" s="13"/>
      <x:c r="H1883" s="13"/>
      <x:c r="I1883" s="13"/>
      <x:c r="J1883" s="13"/>
      <x:c r="K1883" s="13"/>
      <x:c r="L1883" s="13"/>
      <x:c r="M1883" s="13"/>
      <x:c r="N1883" s="13"/>
      <x:c r="O1883" s="13"/>
      <x:c r="P1883" s="13"/>
    </x:row>
    <x:row r="1884">
      <x:c r="E1884" s="13"/>
      <x:c r="F1884" s="13"/>
      <x:c r="G1884" s="13"/>
      <x:c r="H1884" s="13"/>
      <x:c r="I1884" s="13"/>
      <x:c r="J1884" s="13"/>
      <x:c r="K1884" s="13"/>
      <x:c r="L1884" s="13"/>
      <x:c r="M1884" s="13"/>
      <x:c r="N1884" s="13"/>
      <x:c r="O1884" s="13"/>
      <x:c r="P1884" s="13"/>
    </x:row>
    <x:row r="1885">
      <x:c r="E1885" s="13"/>
      <x:c r="F1885" s="13"/>
      <x:c r="G1885" s="13"/>
      <x:c r="H1885" s="13"/>
      <x:c r="I1885" s="13"/>
      <x:c r="J1885" s="13"/>
      <x:c r="K1885" s="13"/>
      <x:c r="L1885" s="13"/>
      <x:c r="M1885" s="13"/>
      <x:c r="N1885" s="13"/>
      <x:c r="O1885" s="13"/>
      <x:c r="P1885" s="13"/>
    </x:row>
    <x:row r="1886">
      <x:c r="E1886" s="13"/>
      <x:c r="F1886" s="13"/>
      <x:c r="G1886" s="13"/>
      <x:c r="H1886" s="13"/>
      <x:c r="I1886" s="13"/>
      <x:c r="J1886" s="13"/>
      <x:c r="K1886" s="13"/>
      <x:c r="L1886" s="13"/>
      <x:c r="M1886" s="13"/>
      <x:c r="N1886" s="13"/>
      <x:c r="O1886" s="13"/>
      <x:c r="P1886" s="13"/>
    </x:row>
    <x:row r="1887">
      <x:c r="E1887" s="13"/>
      <x:c r="F1887" s="13"/>
      <x:c r="G1887" s="13"/>
      <x:c r="H1887" s="13"/>
      <x:c r="I1887" s="13"/>
      <x:c r="J1887" s="13"/>
      <x:c r="K1887" s="13"/>
      <x:c r="L1887" s="13"/>
      <x:c r="M1887" s="13"/>
      <x:c r="N1887" s="13"/>
      <x:c r="O1887" s="13"/>
      <x:c r="P1887" s="13"/>
    </x:row>
    <x:row r="1888">
      <x:c r="E1888" s="13"/>
      <x:c r="F1888" s="13"/>
      <x:c r="G1888" s="13"/>
      <x:c r="H1888" s="13"/>
      <x:c r="I1888" s="13"/>
      <x:c r="J1888" s="13"/>
      <x:c r="K1888" s="13"/>
      <x:c r="L1888" s="13"/>
      <x:c r="M1888" s="13"/>
      <x:c r="N1888" s="13"/>
      <x:c r="O1888" s="13"/>
      <x:c r="P1888" s="13"/>
    </x:row>
    <x:row r="1889">
      <x:c r="E1889" s="13"/>
      <x:c r="F1889" s="13"/>
      <x:c r="G1889" s="13"/>
      <x:c r="H1889" s="13"/>
      <x:c r="I1889" s="13"/>
      <x:c r="J1889" s="13"/>
      <x:c r="K1889" s="13"/>
      <x:c r="L1889" s="13"/>
      <x:c r="M1889" s="13"/>
      <x:c r="N1889" s="13"/>
      <x:c r="O1889" s="13"/>
      <x:c r="P1889" s="13"/>
    </x:row>
    <x:row r="1890">
      <x:c r="E1890" s="13"/>
      <x:c r="F1890" s="13"/>
      <x:c r="G1890" s="13"/>
      <x:c r="H1890" s="13"/>
      <x:c r="I1890" s="13"/>
      <x:c r="J1890" s="13"/>
      <x:c r="K1890" s="13"/>
      <x:c r="L1890" s="13"/>
      <x:c r="M1890" s="13"/>
      <x:c r="N1890" s="13"/>
      <x:c r="O1890" s="13"/>
      <x:c r="P1890" s="13"/>
    </x:row>
    <x:row r="1891">
      <x:c r="E1891" s="13"/>
      <x:c r="F1891" s="13"/>
      <x:c r="G1891" s="13"/>
      <x:c r="H1891" s="13"/>
      <x:c r="I1891" s="13"/>
      <x:c r="J1891" s="13"/>
      <x:c r="K1891" s="13"/>
      <x:c r="L1891" s="13"/>
      <x:c r="M1891" s="13"/>
      <x:c r="N1891" s="13"/>
      <x:c r="O1891" s="13"/>
      <x:c r="P1891" s="13"/>
    </x:row>
    <x:row r="1892">
      <x:c r="E1892" s="13"/>
      <x:c r="F1892" s="13"/>
      <x:c r="G1892" s="13"/>
      <x:c r="H1892" s="13"/>
      <x:c r="I1892" s="13"/>
      <x:c r="J1892" s="13"/>
      <x:c r="K1892" s="13"/>
      <x:c r="L1892" s="13"/>
      <x:c r="M1892" s="13"/>
      <x:c r="N1892" s="13"/>
      <x:c r="O1892" s="13"/>
      <x:c r="P1892" s="13"/>
    </x:row>
    <x:row r="1893">
      <x:c r="E1893" s="13"/>
      <x:c r="F1893" s="13"/>
      <x:c r="G1893" s="13"/>
      <x:c r="H1893" s="13"/>
      <x:c r="I1893" s="13"/>
      <x:c r="J1893" s="13"/>
      <x:c r="K1893" s="13"/>
      <x:c r="L1893" s="13"/>
      <x:c r="M1893" s="13"/>
      <x:c r="N1893" s="13"/>
      <x:c r="O1893" s="13"/>
      <x:c r="P1893" s="13"/>
    </x:row>
    <x:row r="1894">
      <x:c r="E1894" s="13"/>
      <x:c r="F1894" s="13"/>
      <x:c r="G1894" s="13"/>
      <x:c r="H1894" s="13"/>
      <x:c r="I1894" s="13"/>
      <x:c r="J1894" s="13"/>
      <x:c r="K1894" s="13"/>
      <x:c r="L1894" s="13"/>
      <x:c r="M1894" s="13"/>
      <x:c r="N1894" s="13"/>
      <x:c r="O1894" s="13"/>
      <x:c r="P1894" s="13"/>
    </x:row>
    <x:row r="1895">
      <x:c r="E1895" s="13"/>
      <x:c r="F1895" s="13"/>
      <x:c r="G1895" s="13"/>
      <x:c r="H1895" s="13"/>
      <x:c r="I1895" s="13"/>
      <x:c r="J1895" s="13"/>
      <x:c r="K1895" s="13"/>
      <x:c r="L1895" s="13"/>
      <x:c r="M1895" s="13"/>
      <x:c r="N1895" s="13"/>
      <x:c r="O1895" s="13"/>
      <x:c r="P1895" s="13"/>
    </x:row>
    <x:row r="1896">
      <x:c r="E1896" s="13"/>
      <x:c r="F1896" s="13"/>
      <x:c r="G1896" s="13"/>
      <x:c r="H1896" s="13"/>
      <x:c r="I1896" s="13"/>
      <x:c r="J1896" s="13"/>
      <x:c r="K1896" s="13"/>
      <x:c r="L1896" s="13"/>
      <x:c r="M1896" s="13"/>
      <x:c r="N1896" s="13"/>
      <x:c r="O1896" s="13"/>
      <x:c r="P1896" s="13"/>
    </x:row>
    <x:row r="1897">
      <x:c r="E1897" s="13"/>
      <x:c r="F1897" s="13"/>
      <x:c r="G1897" s="13"/>
      <x:c r="H1897" s="13"/>
      <x:c r="I1897" s="13"/>
      <x:c r="J1897" s="13"/>
      <x:c r="K1897" s="13"/>
      <x:c r="L1897" s="13"/>
      <x:c r="M1897" s="13"/>
      <x:c r="N1897" s="13"/>
      <x:c r="O1897" s="13"/>
      <x:c r="P1897" s="13"/>
    </x:row>
    <x:row r="1898">
      <x:c r="E1898" s="13"/>
      <x:c r="F1898" s="13"/>
      <x:c r="G1898" s="13"/>
      <x:c r="H1898" s="13"/>
      <x:c r="I1898" s="13"/>
      <x:c r="J1898" s="13"/>
      <x:c r="K1898" s="13"/>
      <x:c r="L1898" s="13"/>
      <x:c r="M1898" s="13"/>
      <x:c r="N1898" s="13"/>
      <x:c r="O1898" s="13"/>
      <x:c r="P1898" s="13"/>
    </x:row>
    <x:row r="1899">
      <x:c r="E1899" s="13"/>
      <x:c r="F1899" s="13"/>
      <x:c r="G1899" s="13"/>
      <x:c r="H1899" s="13"/>
      <x:c r="I1899" s="13"/>
      <x:c r="J1899" s="13"/>
      <x:c r="K1899" s="13"/>
      <x:c r="L1899" s="13"/>
      <x:c r="M1899" s="13"/>
      <x:c r="N1899" s="13"/>
      <x:c r="O1899" s="13"/>
      <x:c r="P1899" s="13"/>
    </x:row>
    <x:row r="1900">
      <x:c r="E1900" s="13"/>
      <x:c r="F1900" s="13"/>
      <x:c r="G1900" s="13"/>
      <x:c r="H1900" s="13"/>
      <x:c r="I1900" s="13"/>
      <x:c r="J1900" s="13"/>
      <x:c r="K1900" s="13"/>
      <x:c r="L1900" s="13"/>
      <x:c r="M1900" s="13"/>
      <x:c r="N1900" s="13"/>
      <x:c r="O1900" s="13"/>
      <x:c r="P1900" s="13"/>
    </x:row>
    <x:row r="1901">
      <x:c r="E1901" s="13"/>
      <x:c r="F1901" s="13"/>
      <x:c r="G1901" s="13"/>
      <x:c r="H1901" s="13"/>
      <x:c r="I1901" s="13"/>
      <x:c r="J1901" s="13"/>
      <x:c r="K1901" s="13"/>
      <x:c r="L1901" s="13"/>
      <x:c r="M1901" s="13"/>
      <x:c r="N1901" s="13"/>
      <x:c r="O1901" s="13"/>
      <x:c r="P1901" s="13"/>
    </x:row>
    <x:row r="1902">
      <x:c r="E1902" s="13"/>
      <x:c r="F1902" s="13"/>
      <x:c r="G1902" s="13"/>
      <x:c r="H1902" s="13"/>
      <x:c r="I1902" s="13"/>
      <x:c r="J1902" s="13"/>
      <x:c r="K1902" s="13"/>
      <x:c r="L1902" s="13"/>
      <x:c r="M1902" s="13"/>
      <x:c r="N1902" s="13"/>
      <x:c r="O1902" s="13"/>
      <x:c r="P1902" s="13"/>
    </x:row>
    <x:row r="1903">
      <x:c r="E1903" s="13"/>
      <x:c r="F1903" s="13"/>
      <x:c r="G1903" s="13"/>
      <x:c r="H1903" s="13"/>
      <x:c r="I1903" s="13"/>
      <x:c r="J1903" s="13"/>
      <x:c r="K1903" s="13"/>
      <x:c r="L1903" s="13"/>
      <x:c r="M1903" s="13"/>
      <x:c r="N1903" s="13"/>
      <x:c r="O1903" s="13"/>
      <x:c r="P1903" s="13"/>
    </x:row>
    <x:row r="1904">
      <x:c r="E1904" s="13"/>
      <x:c r="F1904" s="13"/>
      <x:c r="G1904" s="13"/>
      <x:c r="H1904" s="13"/>
      <x:c r="I1904" s="13"/>
      <x:c r="J1904" s="13"/>
      <x:c r="K1904" s="13"/>
      <x:c r="L1904" s="13"/>
      <x:c r="M1904" s="13"/>
      <x:c r="N1904" s="13"/>
      <x:c r="O1904" s="13"/>
      <x:c r="P1904" s="13"/>
    </x:row>
    <x:row r="1905">
      <x:c r="E1905" s="13"/>
      <x:c r="F1905" s="13"/>
      <x:c r="G1905" s="13"/>
      <x:c r="H1905" s="13"/>
      <x:c r="I1905" s="13"/>
      <x:c r="J1905" s="13"/>
      <x:c r="K1905" s="13"/>
      <x:c r="L1905" s="13"/>
      <x:c r="M1905" s="13"/>
      <x:c r="N1905" s="13"/>
      <x:c r="O1905" s="13"/>
      <x:c r="P1905" s="13"/>
    </x:row>
    <x:row r="1906">
      <x:c r="E1906" s="13"/>
      <x:c r="F1906" s="13"/>
      <x:c r="G1906" s="13"/>
      <x:c r="H1906" s="13"/>
      <x:c r="I1906" s="13"/>
      <x:c r="J1906" s="13"/>
      <x:c r="K1906" s="13"/>
      <x:c r="L1906" s="13"/>
      <x:c r="M1906" s="13"/>
      <x:c r="N1906" s="13"/>
      <x:c r="O1906" s="13"/>
      <x:c r="P1906" s="13"/>
    </x:row>
    <x:row r="1907">
      <x:c r="E1907" s="13"/>
      <x:c r="F1907" s="13"/>
      <x:c r="G1907" s="13"/>
      <x:c r="H1907" s="13"/>
      <x:c r="I1907" s="13"/>
      <x:c r="J1907" s="13"/>
      <x:c r="K1907" s="13"/>
      <x:c r="L1907" s="13"/>
      <x:c r="M1907" s="13"/>
      <x:c r="N1907" s="13"/>
      <x:c r="O1907" s="13"/>
      <x:c r="P1907" s="13"/>
    </x:row>
    <x:row r="1908">
      <x:c r="E1908" s="13"/>
      <x:c r="F1908" s="13"/>
      <x:c r="G1908" s="13"/>
      <x:c r="H1908" s="13"/>
      <x:c r="I1908" s="13"/>
      <x:c r="J1908" s="13"/>
      <x:c r="K1908" s="13"/>
      <x:c r="L1908" s="13"/>
      <x:c r="M1908" s="13"/>
      <x:c r="N1908" s="13"/>
      <x:c r="O1908" s="13"/>
      <x:c r="P1908" s="13"/>
    </x:row>
    <x:row r="1909">
      <x:c r="E1909" s="13"/>
      <x:c r="F1909" s="13"/>
      <x:c r="G1909" s="13"/>
      <x:c r="H1909" s="13"/>
      <x:c r="I1909" s="13"/>
      <x:c r="J1909" s="13"/>
      <x:c r="K1909" s="13"/>
      <x:c r="L1909" s="13"/>
      <x:c r="M1909" s="13"/>
      <x:c r="N1909" s="13"/>
      <x:c r="O1909" s="13"/>
      <x:c r="P1909" s="13"/>
    </x:row>
    <x:row r="1910">
      <x:c r="E1910" s="13"/>
      <x:c r="F1910" s="13"/>
      <x:c r="G1910" s="13"/>
      <x:c r="H1910" s="13"/>
      <x:c r="I1910" s="13"/>
      <x:c r="J1910" s="13"/>
      <x:c r="K1910" s="13"/>
      <x:c r="L1910" s="13"/>
      <x:c r="M1910" s="13"/>
      <x:c r="N1910" s="13"/>
      <x:c r="O1910" s="13"/>
      <x:c r="P1910" s="13"/>
    </x:row>
    <x:row r="1911">
      <x:c r="E1911" s="13"/>
      <x:c r="F1911" s="13"/>
      <x:c r="G1911" s="13"/>
      <x:c r="H1911" s="13"/>
      <x:c r="I1911" s="13"/>
      <x:c r="J1911" s="13"/>
      <x:c r="K1911" s="13"/>
      <x:c r="L1911" s="13"/>
      <x:c r="M1911" s="13"/>
      <x:c r="N1911" s="13"/>
      <x:c r="O1911" s="13"/>
      <x:c r="P1911" s="13"/>
    </x:row>
    <x:row r="1912">
      <x:c r="E1912" s="13"/>
      <x:c r="F1912" s="13"/>
      <x:c r="G1912" s="13"/>
      <x:c r="H1912" s="13"/>
      <x:c r="I1912" s="13"/>
      <x:c r="J1912" s="13"/>
      <x:c r="K1912" s="13"/>
      <x:c r="L1912" s="13"/>
      <x:c r="M1912" s="13"/>
      <x:c r="N1912" s="13"/>
      <x:c r="O1912" s="13"/>
      <x:c r="P1912" s="13"/>
    </x:row>
    <x:row r="1913">
      <x:c r="E1913" s="13"/>
      <x:c r="F1913" s="13"/>
      <x:c r="G1913" s="13"/>
      <x:c r="H1913" s="13"/>
      <x:c r="I1913" s="13"/>
      <x:c r="J1913" s="13"/>
      <x:c r="K1913" s="13"/>
      <x:c r="L1913" s="13"/>
      <x:c r="M1913" s="13"/>
      <x:c r="N1913" s="13"/>
      <x:c r="O1913" s="13"/>
      <x:c r="P1913" s="13"/>
    </x:row>
    <x:row r="1914">
      <x:c r="E1914" s="13"/>
      <x:c r="F1914" s="13"/>
      <x:c r="G1914" s="13"/>
      <x:c r="H1914" s="13"/>
      <x:c r="I1914" s="13"/>
      <x:c r="J1914" s="13"/>
      <x:c r="K1914" s="13"/>
      <x:c r="L1914" s="13"/>
      <x:c r="M1914" s="13"/>
      <x:c r="N1914" s="13"/>
      <x:c r="O1914" s="13"/>
      <x:c r="P1914" s="13"/>
    </x:row>
    <x:row r="1915">
      <x:c r="E1915" s="13"/>
      <x:c r="F1915" s="13"/>
      <x:c r="G1915" s="13"/>
      <x:c r="H1915" s="13"/>
      <x:c r="I1915" s="13"/>
      <x:c r="J1915" s="13"/>
      <x:c r="K1915" s="13"/>
      <x:c r="L1915" s="13"/>
      <x:c r="M1915" s="13"/>
      <x:c r="N1915" s="13"/>
      <x:c r="O1915" s="13"/>
      <x:c r="P1915" s="13"/>
    </x:row>
    <x:row r="1916">
      <x:c r="E1916" s="13"/>
      <x:c r="F1916" s="13"/>
      <x:c r="G1916" s="13"/>
      <x:c r="H1916" s="13"/>
      <x:c r="I1916" s="13"/>
      <x:c r="J1916" s="13"/>
      <x:c r="K1916" s="13"/>
      <x:c r="L1916" s="13"/>
      <x:c r="M1916" s="13"/>
      <x:c r="N1916" s="13"/>
      <x:c r="O1916" s="13"/>
      <x:c r="P1916" s="13"/>
    </x:row>
    <x:row r="1917">
      <x:c r="E1917" s="13"/>
      <x:c r="F1917" s="13"/>
      <x:c r="G1917" s="13"/>
      <x:c r="H1917" s="13"/>
      <x:c r="I1917" s="13"/>
      <x:c r="J1917" s="13"/>
      <x:c r="K1917" s="13"/>
      <x:c r="L1917" s="13"/>
      <x:c r="M1917" s="13"/>
      <x:c r="N1917" s="13"/>
      <x:c r="O1917" s="13"/>
      <x:c r="P1917" s="13"/>
    </x:row>
    <x:row r="1918">
      <x:c r="E1918" s="13"/>
      <x:c r="F1918" s="13"/>
      <x:c r="G1918" s="13"/>
      <x:c r="H1918" s="13"/>
      <x:c r="I1918" s="13"/>
      <x:c r="J1918" s="13"/>
      <x:c r="K1918" s="13"/>
      <x:c r="L1918" s="13"/>
      <x:c r="M1918" s="13"/>
      <x:c r="N1918" s="13"/>
      <x:c r="O1918" s="13"/>
      <x:c r="P1918" s="13"/>
    </x:row>
    <x:row r="1919">
      <x:c r="E1919" s="13"/>
      <x:c r="F1919" s="13"/>
      <x:c r="G1919" s="13"/>
      <x:c r="H1919" s="13"/>
      <x:c r="I1919" s="13"/>
      <x:c r="J1919" s="13"/>
      <x:c r="K1919" s="13"/>
      <x:c r="L1919" s="13"/>
      <x:c r="M1919" s="13"/>
      <x:c r="N1919" s="13"/>
      <x:c r="O1919" s="13"/>
      <x:c r="P1919" s="13"/>
    </x:row>
    <x:row r="1920">
      <x:c r="E1920" s="13"/>
      <x:c r="F1920" s="13"/>
      <x:c r="G1920" s="13"/>
      <x:c r="H1920" s="13"/>
      <x:c r="I1920" s="13"/>
      <x:c r="J1920" s="13"/>
      <x:c r="K1920" s="13"/>
      <x:c r="L1920" s="13"/>
      <x:c r="M1920" s="13"/>
      <x:c r="N1920" s="13"/>
      <x:c r="O1920" s="13"/>
      <x:c r="P1920" s="13"/>
    </x:row>
    <x:row r="1921">
      <x:c r="E1921" s="13"/>
      <x:c r="F1921" s="13"/>
      <x:c r="G1921" s="13"/>
      <x:c r="H1921" s="13"/>
      <x:c r="I1921" s="13"/>
      <x:c r="J1921" s="13"/>
      <x:c r="K1921" s="13"/>
      <x:c r="L1921" s="13"/>
      <x:c r="M1921" s="13"/>
      <x:c r="N1921" s="13"/>
      <x:c r="O1921" s="13"/>
      <x:c r="P1921" s="13"/>
    </x:row>
    <x:row r="1922">
      <x:c r="E1922" s="13"/>
      <x:c r="F1922" s="13"/>
      <x:c r="G1922" s="13"/>
      <x:c r="H1922" s="13"/>
      <x:c r="I1922" s="13"/>
      <x:c r="J1922" s="13"/>
      <x:c r="K1922" s="13"/>
      <x:c r="L1922" s="13"/>
      <x:c r="M1922" s="13"/>
      <x:c r="N1922" s="13"/>
      <x:c r="O1922" s="13"/>
      <x:c r="P1922" s="13"/>
    </x:row>
    <x:row r="1923">
      <x:c r="E1923" s="13"/>
      <x:c r="F1923" s="13"/>
      <x:c r="G1923" s="13"/>
      <x:c r="H1923" s="13"/>
      <x:c r="I1923" s="13"/>
      <x:c r="J1923" s="13"/>
      <x:c r="K1923" s="13"/>
      <x:c r="L1923" s="13"/>
      <x:c r="M1923" s="13"/>
      <x:c r="N1923" s="13"/>
      <x:c r="O1923" s="13"/>
      <x:c r="P1923" s="13"/>
    </x:row>
    <x:row r="1924">
      <x:c r="E1924" s="13"/>
      <x:c r="F1924" s="13"/>
      <x:c r="G1924" s="13"/>
      <x:c r="H1924" s="13"/>
      <x:c r="I1924" s="13"/>
      <x:c r="J1924" s="13"/>
      <x:c r="K1924" s="13"/>
      <x:c r="L1924" s="13"/>
      <x:c r="M1924" s="13"/>
      <x:c r="N1924" s="13"/>
      <x:c r="O1924" s="13"/>
      <x:c r="P1924" s="13"/>
    </x:row>
    <x:row r="1925">
      <x:c r="E1925" s="13"/>
      <x:c r="F1925" s="13"/>
      <x:c r="G1925" s="13"/>
      <x:c r="H1925" s="13"/>
      <x:c r="I1925" s="13"/>
      <x:c r="J1925" s="13"/>
      <x:c r="K1925" s="13"/>
      <x:c r="L1925" s="13"/>
      <x:c r="M1925" s="13"/>
      <x:c r="N1925" s="13"/>
      <x:c r="O1925" s="13"/>
      <x:c r="P1925" s="13"/>
    </x:row>
    <x:row r="1926">
      <x:c r="E1926" s="13"/>
      <x:c r="F1926" s="13"/>
      <x:c r="G1926" s="13"/>
      <x:c r="H1926" s="13"/>
      <x:c r="I1926" s="13"/>
      <x:c r="J1926" s="13"/>
      <x:c r="K1926" s="13"/>
      <x:c r="L1926" s="13"/>
      <x:c r="M1926" s="13"/>
      <x:c r="N1926" s="13"/>
      <x:c r="O1926" s="13"/>
      <x:c r="P1926" s="13"/>
    </x:row>
    <x:row r="1927">
      <x:c r="E1927" s="13"/>
      <x:c r="F1927" s="13"/>
      <x:c r="G1927" s="13"/>
      <x:c r="H1927" s="13"/>
      <x:c r="I1927" s="13"/>
      <x:c r="J1927" s="13"/>
      <x:c r="K1927" s="13"/>
      <x:c r="L1927" s="13"/>
      <x:c r="M1927" s="13"/>
      <x:c r="N1927" s="13"/>
      <x:c r="O1927" s="13"/>
      <x:c r="P1927" s="13"/>
    </x:row>
    <x:row r="1928">
      <x:c r="E1928" s="13"/>
      <x:c r="F1928" s="13"/>
      <x:c r="G1928" s="13"/>
      <x:c r="H1928" s="13"/>
      <x:c r="I1928" s="13"/>
      <x:c r="J1928" s="13"/>
      <x:c r="K1928" s="13"/>
      <x:c r="L1928" s="13"/>
      <x:c r="M1928" s="13"/>
      <x:c r="N1928" s="13"/>
      <x:c r="O1928" s="13"/>
      <x:c r="P1928" s="13"/>
    </x:row>
    <x:row r="1929">
      <x:c r="E1929" s="13"/>
      <x:c r="F1929" s="13"/>
      <x:c r="G1929" s="13"/>
      <x:c r="H1929" s="13"/>
      <x:c r="I1929" s="13"/>
      <x:c r="J1929" s="13"/>
      <x:c r="K1929" s="13"/>
      <x:c r="L1929" s="13"/>
      <x:c r="M1929" s="13"/>
      <x:c r="N1929" s="13"/>
      <x:c r="O1929" s="13"/>
      <x:c r="P1929" s="13"/>
    </x:row>
    <x:row r="1930">
      <x:c r="E1930" s="13"/>
      <x:c r="F1930" s="13"/>
      <x:c r="G1930" s="13"/>
      <x:c r="H1930" s="13"/>
      <x:c r="I1930" s="13"/>
      <x:c r="J1930" s="13"/>
      <x:c r="K1930" s="13"/>
      <x:c r="L1930" s="13"/>
      <x:c r="M1930" s="13"/>
      <x:c r="N1930" s="13"/>
      <x:c r="O1930" s="13"/>
      <x:c r="P1930" s="13"/>
    </x:row>
    <x:row r="1931">
      <x:c r="E1931" s="13"/>
      <x:c r="F1931" s="13"/>
      <x:c r="G1931" s="13"/>
      <x:c r="H1931" s="13"/>
      <x:c r="I1931" s="13"/>
      <x:c r="J1931" s="13"/>
      <x:c r="K1931" s="13"/>
      <x:c r="L1931" s="13"/>
      <x:c r="M1931" s="13"/>
      <x:c r="N1931" s="13"/>
      <x:c r="O1931" s="13"/>
      <x:c r="P1931" s="13"/>
    </x:row>
    <x:row r="1932">
      <x:c r="E1932" s="13"/>
      <x:c r="F1932" s="13"/>
      <x:c r="G1932" s="13"/>
      <x:c r="H1932" s="13"/>
      <x:c r="I1932" s="13"/>
      <x:c r="J1932" s="13"/>
      <x:c r="K1932" s="13"/>
      <x:c r="L1932" s="13"/>
      <x:c r="M1932" s="13"/>
      <x:c r="N1932" s="13"/>
      <x:c r="O1932" s="13"/>
      <x:c r="P1932" s="13"/>
    </x:row>
    <x:row r="1933">
      <x:c r="E1933" s="13"/>
      <x:c r="F1933" s="13"/>
      <x:c r="G1933" s="13"/>
      <x:c r="H1933" s="13"/>
      <x:c r="I1933" s="13"/>
      <x:c r="J1933" s="13"/>
      <x:c r="K1933" s="13"/>
      <x:c r="L1933" s="13"/>
      <x:c r="M1933" s="13"/>
      <x:c r="N1933" s="13"/>
      <x:c r="O1933" s="13"/>
      <x:c r="P1933" s="13"/>
    </x:row>
    <x:row r="1934">
      <x:c r="E1934" s="13"/>
      <x:c r="F1934" s="13"/>
      <x:c r="G1934" s="13"/>
      <x:c r="H1934" s="13"/>
      <x:c r="I1934" s="13"/>
      <x:c r="J1934" s="13"/>
      <x:c r="K1934" s="13"/>
      <x:c r="L1934" s="13"/>
      <x:c r="M1934" s="13"/>
      <x:c r="N1934" s="13"/>
      <x:c r="O1934" s="13"/>
      <x:c r="P1934" s="13"/>
    </x:row>
    <x:row r="1935">
      <x:c r="E1935" s="13"/>
      <x:c r="F1935" s="13"/>
      <x:c r="G1935" s="13"/>
      <x:c r="H1935" s="13"/>
      <x:c r="I1935" s="13"/>
      <x:c r="J1935" s="13"/>
      <x:c r="K1935" s="13"/>
      <x:c r="L1935" s="13"/>
      <x:c r="M1935" s="13"/>
      <x:c r="N1935" s="13"/>
      <x:c r="O1935" s="13"/>
      <x:c r="P1935" s="13"/>
    </x:row>
    <x:row r="1936">
      <x:c r="E1936" s="13"/>
      <x:c r="F1936" s="13"/>
      <x:c r="G1936" s="13"/>
      <x:c r="H1936" s="13"/>
      <x:c r="I1936" s="13"/>
      <x:c r="J1936" s="13"/>
      <x:c r="K1936" s="13"/>
      <x:c r="L1936" s="13"/>
      <x:c r="M1936" s="13"/>
      <x:c r="N1936" s="13"/>
      <x:c r="O1936" s="13"/>
      <x:c r="P1936" s="13"/>
    </x:row>
    <x:row r="1937">
      <x:c r="E1937" s="13"/>
      <x:c r="F1937" s="13"/>
      <x:c r="G1937" s="13"/>
      <x:c r="H1937" s="13"/>
      <x:c r="I1937" s="13"/>
      <x:c r="J1937" s="13"/>
      <x:c r="K1937" s="13"/>
      <x:c r="L1937" s="13"/>
      <x:c r="M1937" s="13"/>
      <x:c r="N1937" s="13"/>
      <x:c r="O1937" s="13"/>
      <x:c r="P1937" s="13"/>
    </x:row>
    <x:row r="1938">
      <x:c r="E1938" s="13"/>
      <x:c r="F1938" s="13"/>
      <x:c r="G1938" s="13"/>
      <x:c r="H1938" s="13"/>
      <x:c r="I1938" s="13"/>
      <x:c r="J1938" s="13"/>
      <x:c r="K1938" s="13"/>
      <x:c r="L1938" s="13"/>
      <x:c r="M1938" s="13"/>
      <x:c r="N1938" s="13"/>
      <x:c r="O1938" s="13"/>
      <x:c r="P1938" s="13"/>
    </x:row>
    <x:row r="1939">
      <x:c r="E1939" s="13"/>
      <x:c r="F1939" s="13"/>
      <x:c r="G1939" s="13"/>
      <x:c r="H1939" s="13"/>
      <x:c r="I1939" s="13"/>
      <x:c r="J1939" s="13"/>
      <x:c r="K1939" s="13"/>
      <x:c r="L1939" s="13"/>
      <x:c r="M1939" s="13"/>
      <x:c r="N1939" s="13"/>
      <x:c r="O1939" s="13"/>
      <x:c r="P1939" s="13"/>
    </x:row>
    <x:row r="1940">
      <x:c r="E1940" s="13"/>
      <x:c r="F1940" s="13"/>
      <x:c r="G1940" s="13"/>
      <x:c r="H1940" s="13"/>
      <x:c r="I1940" s="13"/>
      <x:c r="J1940" s="13"/>
      <x:c r="K1940" s="13"/>
      <x:c r="L1940" s="13"/>
      <x:c r="M1940" s="13"/>
      <x:c r="N1940" s="13"/>
      <x:c r="O1940" s="13"/>
      <x:c r="P1940" s="13"/>
    </x:row>
    <x:row r="1941">
      <x:c r="E1941" s="13"/>
      <x:c r="F1941" s="13"/>
      <x:c r="G1941" s="13"/>
      <x:c r="H1941" s="13"/>
      <x:c r="I1941" s="13"/>
      <x:c r="J1941" s="13"/>
      <x:c r="K1941" s="13"/>
      <x:c r="L1941" s="13"/>
      <x:c r="M1941" s="13"/>
      <x:c r="N1941" s="13"/>
      <x:c r="O1941" s="13"/>
      <x:c r="P1941" s="13"/>
    </x:row>
    <x:row r="1942">
      <x:c r="E1942" s="13"/>
      <x:c r="F1942" s="13"/>
      <x:c r="G1942" s="13"/>
      <x:c r="H1942" s="13"/>
      <x:c r="I1942" s="13"/>
      <x:c r="J1942" s="13"/>
      <x:c r="K1942" s="13"/>
      <x:c r="L1942" s="13"/>
      <x:c r="M1942" s="13"/>
      <x:c r="N1942" s="13"/>
      <x:c r="O1942" s="13"/>
      <x:c r="P1942" s="13"/>
    </x:row>
    <x:row r="1943">
      <x:c r="E1943" s="13"/>
      <x:c r="F1943" s="13"/>
      <x:c r="G1943" s="13"/>
      <x:c r="H1943" s="13"/>
      <x:c r="I1943" s="13"/>
      <x:c r="J1943" s="13"/>
      <x:c r="K1943" s="13"/>
      <x:c r="L1943" s="13"/>
      <x:c r="M1943" s="13"/>
      <x:c r="N1943" s="13"/>
      <x:c r="O1943" s="13"/>
      <x:c r="P1943" s="13"/>
    </x:row>
    <x:row r="1944">
      <x:c r="E1944" s="13"/>
      <x:c r="F1944" s="13"/>
      <x:c r="G1944" s="13"/>
      <x:c r="H1944" s="13"/>
      <x:c r="I1944" s="13"/>
      <x:c r="J1944" s="13"/>
      <x:c r="K1944" s="13"/>
      <x:c r="L1944" s="13"/>
      <x:c r="M1944" s="13"/>
      <x:c r="N1944" s="13"/>
      <x:c r="O1944" s="13"/>
      <x:c r="P1944" s="13"/>
    </x:row>
    <x:row r="1945">
      <x:c r="E1945" s="13"/>
      <x:c r="F1945" s="13"/>
      <x:c r="G1945" s="13"/>
      <x:c r="H1945" s="13"/>
      <x:c r="I1945" s="13"/>
      <x:c r="J1945" s="13"/>
      <x:c r="K1945" s="13"/>
      <x:c r="L1945" s="13"/>
      <x:c r="M1945" s="13"/>
      <x:c r="N1945" s="13"/>
      <x:c r="O1945" s="13"/>
      <x:c r="P1945" s="13"/>
    </x:row>
    <x:row r="1946">
      <x:c r="E1946" s="13"/>
      <x:c r="F1946" s="13"/>
      <x:c r="G1946" s="13"/>
      <x:c r="H1946" s="13"/>
      <x:c r="I1946" s="13"/>
      <x:c r="J1946" s="13"/>
      <x:c r="K1946" s="13"/>
      <x:c r="L1946" s="13"/>
      <x:c r="M1946" s="13"/>
      <x:c r="N1946" s="13"/>
      <x:c r="O1946" s="13"/>
      <x:c r="P1946" s="13"/>
    </x:row>
    <x:row r="1947">
      <x:c r="E1947" s="13"/>
      <x:c r="F1947" s="13"/>
      <x:c r="G1947" s="13"/>
      <x:c r="H1947" s="13"/>
      <x:c r="I1947" s="13"/>
      <x:c r="J1947" s="13"/>
      <x:c r="K1947" s="13"/>
      <x:c r="L1947" s="13"/>
      <x:c r="M1947" s="13"/>
      <x:c r="N1947" s="13"/>
      <x:c r="O1947" s="13"/>
      <x:c r="P1947" s="13"/>
    </x:row>
    <x:row r="1948">
      <x:c r="E1948" s="13"/>
      <x:c r="F1948" s="13"/>
      <x:c r="G1948" s="13"/>
      <x:c r="H1948" s="13"/>
      <x:c r="I1948" s="13"/>
      <x:c r="J1948" s="13"/>
      <x:c r="K1948" s="13"/>
      <x:c r="L1948" s="13"/>
      <x:c r="M1948" s="13"/>
      <x:c r="N1948" s="13"/>
      <x:c r="O1948" s="13"/>
      <x:c r="P1948" s="13"/>
    </x:row>
    <x:row r="1949">
      <x:c r="E1949" s="13"/>
      <x:c r="F1949" s="13"/>
      <x:c r="G1949" s="13"/>
      <x:c r="H1949" s="13"/>
      <x:c r="I1949" s="13"/>
      <x:c r="J1949" s="13"/>
      <x:c r="K1949" s="13"/>
      <x:c r="L1949" s="13"/>
      <x:c r="M1949" s="13"/>
      <x:c r="N1949" s="13"/>
      <x:c r="O1949" s="13"/>
      <x:c r="P1949" s="13"/>
    </x:row>
    <x:row r="1950">
      <x:c r="E1950" s="13"/>
      <x:c r="F1950" s="13"/>
      <x:c r="G1950" s="13"/>
      <x:c r="H1950" s="13"/>
      <x:c r="I1950" s="13"/>
      <x:c r="J1950" s="13"/>
      <x:c r="K1950" s="13"/>
      <x:c r="L1950" s="13"/>
      <x:c r="M1950" s="13"/>
      <x:c r="N1950" s="13"/>
      <x:c r="O1950" s="13"/>
      <x:c r="P1950" s="13"/>
    </x:row>
    <x:row r="1951">
      <x:c r="E1951" s="13"/>
      <x:c r="F1951" s="13"/>
      <x:c r="G1951" s="13"/>
      <x:c r="H1951" s="13"/>
      <x:c r="I1951" s="13"/>
      <x:c r="J1951" s="13"/>
      <x:c r="K1951" s="13"/>
      <x:c r="L1951" s="13"/>
      <x:c r="M1951" s="13"/>
      <x:c r="N1951" s="13"/>
      <x:c r="O1951" s="13"/>
      <x:c r="P1951" s="13"/>
    </x:row>
    <x:row r="1952">
      <x:c r="E1952" s="13"/>
      <x:c r="F1952" s="13"/>
      <x:c r="G1952" s="13"/>
      <x:c r="H1952" s="13"/>
      <x:c r="I1952" s="13"/>
      <x:c r="J1952" s="13"/>
      <x:c r="K1952" s="13"/>
      <x:c r="L1952" s="13"/>
      <x:c r="M1952" s="13"/>
      <x:c r="N1952" s="13"/>
      <x:c r="O1952" s="13"/>
      <x:c r="P1952" s="13"/>
    </x:row>
    <x:row r="1953">
      <x:c r="E1953" s="13"/>
      <x:c r="F1953" s="13"/>
      <x:c r="G1953" s="13"/>
      <x:c r="H1953" s="13"/>
      <x:c r="I1953" s="13"/>
      <x:c r="J1953" s="13"/>
      <x:c r="K1953" s="13"/>
      <x:c r="L1953" s="13"/>
      <x:c r="M1953" s="13"/>
      <x:c r="N1953" s="13"/>
      <x:c r="O1953" s="13"/>
      <x:c r="P1953" s="13"/>
    </x:row>
    <x:row r="1954">
      <x:c r="E1954" s="13"/>
      <x:c r="F1954" s="13"/>
      <x:c r="G1954" s="13"/>
      <x:c r="H1954" s="13"/>
      <x:c r="I1954" s="13"/>
      <x:c r="J1954" s="13"/>
      <x:c r="K1954" s="13"/>
      <x:c r="L1954" s="13"/>
      <x:c r="M1954" s="13"/>
      <x:c r="N1954" s="13"/>
      <x:c r="O1954" s="13"/>
      <x:c r="P1954" s="13"/>
    </x:row>
    <x:row r="1955">
      <x:c r="E1955" s="13"/>
      <x:c r="F1955" s="13"/>
      <x:c r="G1955" s="13"/>
      <x:c r="H1955" s="13"/>
      <x:c r="I1955" s="13"/>
      <x:c r="J1955" s="13"/>
      <x:c r="K1955" s="13"/>
      <x:c r="L1955" s="13"/>
      <x:c r="M1955" s="13"/>
      <x:c r="N1955" s="13"/>
      <x:c r="O1955" s="13"/>
      <x:c r="P1955" s="13"/>
    </x:row>
    <x:row r="1956">
      <x:c r="E1956" s="13"/>
      <x:c r="F1956" s="13"/>
      <x:c r="G1956" s="13"/>
      <x:c r="H1956" s="13"/>
      <x:c r="I1956" s="13"/>
      <x:c r="J1956" s="13"/>
      <x:c r="K1956" s="13"/>
      <x:c r="L1956" s="13"/>
      <x:c r="M1956" s="13"/>
      <x:c r="N1956" s="13"/>
      <x:c r="O1956" s="13"/>
      <x:c r="P1956" s="13"/>
    </x:row>
    <x:row r="1957">
      <x:c r="E1957" s="13"/>
      <x:c r="F1957" s="13"/>
      <x:c r="G1957" s="13"/>
      <x:c r="H1957" s="13"/>
      <x:c r="I1957" s="13"/>
      <x:c r="J1957" s="13"/>
      <x:c r="K1957" s="13"/>
      <x:c r="L1957" s="13"/>
      <x:c r="M1957" s="13"/>
      <x:c r="N1957" s="13"/>
      <x:c r="O1957" s="13"/>
      <x:c r="P1957" s="13"/>
    </x:row>
    <x:row r="1958">
      <x:c r="E1958" s="13"/>
      <x:c r="F1958" s="13"/>
      <x:c r="G1958" s="13"/>
      <x:c r="H1958" s="13"/>
      <x:c r="I1958" s="13"/>
      <x:c r="J1958" s="13"/>
      <x:c r="K1958" s="13"/>
      <x:c r="L1958" s="13"/>
      <x:c r="M1958" s="13"/>
      <x:c r="N1958" s="13"/>
      <x:c r="O1958" s="13"/>
      <x:c r="P1958" s="13"/>
    </x:row>
    <x:row r="1959">
      <x:c r="E1959" s="13"/>
      <x:c r="F1959" s="13"/>
      <x:c r="G1959" s="13"/>
      <x:c r="H1959" s="13"/>
      <x:c r="I1959" s="13"/>
      <x:c r="J1959" s="13"/>
      <x:c r="K1959" s="13"/>
      <x:c r="L1959" s="13"/>
      <x:c r="M1959" s="13"/>
      <x:c r="N1959" s="13"/>
      <x:c r="O1959" s="13"/>
      <x:c r="P1959" s="13"/>
    </x:row>
    <x:row r="1960">
      <x:c r="E1960" s="13"/>
      <x:c r="F1960" s="13"/>
      <x:c r="G1960" s="13"/>
      <x:c r="H1960" s="13"/>
      <x:c r="I1960" s="13"/>
      <x:c r="J1960" s="13"/>
      <x:c r="K1960" s="13"/>
      <x:c r="L1960" s="13"/>
      <x:c r="M1960" s="13"/>
      <x:c r="N1960" s="13"/>
      <x:c r="O1960" s="13"/>
      <x:c r="P1960" s="13"/>
    </x:row>
    <x:row r="1961">
      <x:c r="E1961" s="13"/>
      <x:c r="F1961" s="13"/>
      <x:c r="G1961" s="13"/>
      <x:c r="H1961" s="13"/>
      <x:c r="I1961" s="13"/>
      <x:c r="J1961" s="13"/>
      <x:c r="K1961" s="13"/>
      <x:c r="L1961" s="13"/>
      <x:c r="M1961" s="13"/>
      <x:c r="N1961" s="13"/>
      <x:c r="O1961" s="13"/>
      <x:c r="P1961" s="13"/>
    </x:row>
    <x:row r="1962">
      <x:c r="E1962" s="13"/>
      <x:c r="F1962" s="13"/>
      <x:c r="G1962" s="13"/>
      <x:c r="H1962" s="13"/>
      <x:c r="I1962" s="13"/>
      <x:c r="J1962" s="13"/>
      <x:c r="K1962" s="13"/>
      <x:c r="L1962" s="13"/>
      <x:c r="M1962" s="13"/>
      <x:c r="N1962" s="13"/>
      <x:c r="O1962" s="13"/>
      <x:c r="P1962" s="13"/>
    </x:row>
    <x:row r="1963">
      <x:c r="E1963" s="13"/>
      <x:c r="F1963" s="13"/>
      <x:c r="G1963" s="13"/>
      <x:c r="H1963" s="13"/>
      <x:c r="I1963" s="13"/>
      <x:c r="J1963" s="13"/>
      <x:c r="K1963" s="13"/>
      <x:c r="L1963" s="13"/>
      <x:c r="M1963" s="13"/>
      <x:c r="N1963" s="13"/>
      <x:c r="O1963" s="13"/>
      <x:c r="P1963" s="13"/>
    </x:row>
    <x:row r="1964">
      <x:c r="E1964" s="13"/>
      <x:c r="F1964" s="13"/>
      <x:c r="G1964" s="13"/>
      <x:c r="H1964" s="13"/>
      <x:c r="I1964" s="13"/>
      <x:c r="J1964" s="13"/>
      <x:c r="K1964" s="13"/>
      <x:c r="L1964" s="13"/>
      <x:c r="M1964" s="13"/>
      <x:c r="N1964" s="13"/>
      <x:c r="O1964" s="13"/>
      <x:c r="P1964" s="13"/>
    </x:row>
    <x:row r="1965">
      <x:c r="E1965" s="13"/>
      <x:c r="F1965" s="13"/>
      <x:c r="G1965" s="13"/>
      <x:c r="H1965" s="13"/>
      <x:c r="I1965" s="13"/>
      <x:c r="J1965" s="13"/>
      <x:c r="K1965" s="13"/>
      <x:c r="L1965" s="13"/>
      <x:c r="M1965" s="13"/>
      <x:c r="N1965" s="13"/>
      <x:c r="O1965" s="13"/>
      <x:c r="P1965" s="13"/>
    </x:row>
    <x:row r="1966">
      <x:c r="E1966" s="13"/>
      <x:c r="F1966" s="13"/>
      <x:c r="G1966" s="13"/>
      <x:c r="H1966" s="13"/>
      <x:c r="I1966" s="13"/>
      <x:c r="J1966" s="13"/>
      <x:c r="K1966" s="13"/>
      <x:c r="L1966" s="13"/>
      <x:c r="M1966" s="13"/>
      <x:c r="N1966" s="13"/>
      <x:c r="O1966" s="13"/>
      <x:c r="P1966" s="13"/>
    </x:row>
    <x:row r="1967">
      <x:c r="E1967" s="13"/>
      <x:c r="F1967" s="13"/>
      <x:c r="G1967" s="13"/>
      <x:c r="H1967" s="13"/>
      <x:c r="I1967" s="13"/>
      <x:c r="J1967" s="13"/>
      <x:c r="K1967" s="13"/>
      <x:c r="L1967" s="13"/>
      <x:c r="M1967" s="13"/>
      <x:c r="N1967" s="13"/>
      <x:c r="O1967" s="13"/>
      <x:c r="P1967" s="13"/>
    </x:row>
    <x:row r="1968">
      <x:c r="E1968" s="13"/>
      <x:c r="F1968" s="13"/>
      <x:c r="G1968" s="13"/>
      <x:c r="H1968" s="13"/>
      <x:c r="I1968" s="13"/>
      <x:c r="J1968" s="13"/>
      <x:c r="K1968" s="13"/>
      <x:c r="L1968" s="13"/>
      <x:c r="M1968" s="13"/>
      <x:c r="N1968" s="13"/>
      <x:c r="O1968" s="13"/>
      <x:c r="P1968" s="13"/>
    </x:row>
    <x:row r="1969">
      <x:c r="E1969" s="13"/>
      <x:c r="F1969" s="13"/>
      <x:c r="G1969" s="13"/>
      <x:c r="H1969" s="13"/>
      <x:c r="I1969" s="13"/>
      <x:c r="J1969" s="13"/>
      <x:c r="K1969" s="13"/>
      <x:c r="L1969" s="13"/>
      <x:c r="M1969" s="13"/>
      <x:c r="N1969" s="13"/>
      <x:c r="O1969" s="13"/>
      <x:c r="P1969" s="13"/>
    </x:row>
    <x:row r="1970">
      <x:c r="E1970" s="13"/>
      <x:c r="F1970" s="13"/>
      <x:c r="G1970" s="13"/>
      <x:c r="H1970" s="13"/>
      <x:c r="I1970" s="13"/>
      <x:c r="J1970" s="13"/>
      <x:c r="K1970" s="13"/>
      <x:c r="L1970" s="13"/>
      <x:c r="M1970" s="13"/>
      <x:c r="N1970" s="13"/>
      <x:c r="O1970" s="13"/>
      <x:c r="P1970" s="13"/>
    </x:row>
    <x:row r="1971">
      <x:c r="E1971" s="13"/>
      <x:c r="F1971" s="13"/>
      <x:c r="G1971" s="13"/>
      <x:c r="H1971" s="13"/>
      <x:c r="I1971" s="13"/>
      <x:c r="J1971" s="13"/>
      <x:c r="K1971" s="13"/>
      <x:c r="L1971" s="13"/>
      <x:c r="M1971" s="13"/>
      <x:c r="N1971" s="13"/>
      <x:c r="O1971" s="13"/>
      <x:c r="P1971" s="13"/>
    </x:row>
    <x:row r="1972">
      <x:c r="E1972" s="13"/>
      <x:c r="F1972" s="13"/>
      <x:c r="G1972" s="13"/>
      <x:c r="H1972" s="13"/>
      <x:c r="I1972" s="13"/>
      <x:c r="J1972" s="13"/>
      <x:c r="K1972" s="13"/>
      <x:c r="L1972" s="13"/>
      <x:c r="M1972" s="13"/>
      <x:c r="N1972" s="13"/>
      <x:c r="O1972" s="13"/>
      <x:c r="P1972" s="13"/>
    </x:row>
    <x:row r="1973">
      <x:c r="E1973" s="13"/>
      <x:c r="F1973" s="13"/>
      <x:c r="G1973" s="13"/>
      <x:c r="H1973" s="13"/>
      <x:c r="I1973" s="13"/>
      <x:c r="J1973" s="13"/>
      <x:c r="K1973" s="13"/>
      <x:c r="L1973" s="13"/>
      <x:c r="M1973" s="13"/>
      <x:c r="N1973" s="13"/>
      <x:c r="O1973" s="13"/>
      <x:c r="P1973" s="13"/>
    </x:row>
    <x:row r="1974">
      <x:c r="E1974" s="13"/>
      <x:c r="F1974" s="13"/>
      <x:c r="G1974" s="13"/>
      <x:c r="H1974" s="13"/>
      <x:c r="I1974" s="13"/>
      <x:c r="J1974" s="13"/>
      <x:c r="K1974" s="13"/>
      <x:c r="L1974" s="13"/>
      <x:c r="M1974" s="13"/>
      <x:c r="N1974" s="13"/>
      <x:c r="O1974" s="13"/>
      <x:c r="P1974" s="13"/>
    </x:row>
    <x:row r="1975">
      <x:c r="E1975" s="13"/>
      <x:c r="F1975" s="13"/>
      <x:c r="G1975" s="13"/>
      <x:c r="H1975" s="13"/>
      <x:c r="I1975" s="13"/>
      <x:c r="J1975" s="13"/>
      <x:c r="K1975" s="13"/>
      <x:c r="L1975" s="13"/>
      <x:c r="M1975" s="13"/>
      <x:c r="N1975" s="13"/>
      <x:c r="O1975" s="13"/>
      <x:c r="P1975" s="13"/>
    </x:row>
    <x:row r="1976">
      <x:c r="E1976" s="13"/>
      <x:c r="F1976" s="13"/>
      <x:c r="G1976" s="13"/>
      <x:c r="H1976" s="13"/>
      <x:c r="I1976" s="13"/>
      <x:c r="J1976" s="13"/>
      <x:c r="K1976" s="13"/>
      <x:c r="L1976" s="13"/>
      <x:c r="M1976" s="13"/>
      <x:c r="N1976" s="13"/>
      <x:c r="O1976" s="13"/>
      <x:c r="P1976" s="13"/>
    </x:row>
    <x:row r="1977">
      <x:c r="E1977" s="13"/>
      <x:c r="F1977" s="13"/>
      <x:c r="G1977" s="13"/>
      <x:c r="H1977" s="13"/>
      <x:c r="I1977" s="13"/>
      <x:c r="J1977" s="13"/>
      <x:c r="K1977" s="13"/>
      <x:c r="L1977" s="13"/>
      <x:c r="M1977" s="13"/>
      <x:c r="N1977" s="13"/>
      <x:c r="O1977" s="13"/>
      <x:c r="P1977" s="13"/>
    </x:row>
    <x:row r="1978">
      <x:c r="E1978" s="13"/>
      <x:c r="F1978" s="13"/>
      <x:c r="G1978" s="13"/>
      <x:c r="H1978" s="13"/>
      <x:c r="I1978" s="13"/>
      <x:c r="J1978" s="13"/>
      <x:c r="K1978" s="13"/>
      <x:c r="L1978" s="13"/>
      <x:c r="M1978" s="13"/>
      <x:c r="N1978" s="13"/>
      <x:c r="O1978" s="13"/>
      <x:c r="P1978" s="13"/>
    </x:row>
    <x:row r="1979">
      <x:c r="E1979" s="13"/>
      <x:c r="F1979" s="13"/>
      <x:c r="G1979" s="13"/>
      <x:c r="H1979" s="13"/>
      <x:c r="I1979" s="13"/>
      <x:c r="J1979" s="13"/>
      <x:c r="K1979" s="13"/>
      <x:c r="L1979" s="13"/>
      <x:c r="M1979" s="13"/>
      <x:c r="N1979" s="13"/>
      <x:c r="O1979" s="13"/>
      <x:c r="P1979" s="13"/>
    </x:row>
    <x:row r="1980">
      <x:c r="E1980" s="13"/>
      <x:c r="F1980" s="13"/>
      <x:c r="G1980" s="13"/>
      <x:c r="H1980" s="13"/>
      <x:c r="I1980" s="13"/>
      <x:c r="J1980" s="13"/>
      <x:c r="K1980" s="13"/>
      <x:c r="L1980" s="13"/>
      <x:c r="M1980" s="13"/>
      <x:c r="N1980" s="13"/>
      <x:c r="O1980" s="13"/>
      <x:c r="P1980" s="13"/>
    </x:row>
    <x:row r="1981">
      <x:c r="E1981" s="13"/>
      <x:c r="F1981" s="13"/>
      <x:c r="G1981" s="13"/>
      <x:c r="H1981" s="13"/>
      <x:c r="I1981" s="13"/>
      <x:c r="J1981" s="13"/>
      <x:c r="K1981" s="13"/>
      <x:c r="L1981" s="13"/>
      <x:c r="M1981" s="13"/>
      <x:c r="N1981" s="13"/>
      <x:c r="O1981" s="13"/>
      <x:c r="P1981" s="13"/>
    </x:row>
    <x:row r="1982">
      <x:c r="E1982" s="13"/>
      <x:c r="F1982" s="13"/>
      <x:c r="G1982" s="13"/>
      <x:c r="H1982" s="13"/>
      <x:c r="I1982" s="13"/>
      <x:c r="J1982" s="13"/>
      <x:c r="K1982" s="13"/>
      <x:c r="L1982" s="13"/>
      <x:c r="M1982" s="13"/>
      <x:c r="N1982" s="13"/>
      <x:c r="O1982" s="13"/>
      <x:c r="P1982" s="13"/>
    </x:row>
    <x:row r="1983">
      <x:c r="E1983" s="13"/>
      <x:c r="F1983" s="13"/>
      <x:c r="G1983" s="13"/>
      <x:c r="H1983" s="13"/>
      <x:c r="I1983" s="13"/>
      <x:c r="J1983" s="13"/>
      <x:c r="K1983" s="13"/>
      <x:c r="L1983" s="13"/>
      <x:c r="M1983" s="13"/>
      <x:c r="N1983" s="13"/>
      <x:c r="O1983" s="13"/>
      <x:c r="P1983" s="13"/>
    </x:row>
    <x:row r="1984">
      <x:c r="E1984" s="13"/>
      <x:c r="F1984" s="13"/>
      <x:c r="G1984" s="13"/>
      <x:c r="H1984" s="13"/>
      <x:c r="I1984" s="13"/>
      <x:c r="J1984" s="13"/>
      <x:c r="K1984" s="13"/>
      <x:c r="L1984" s="13"/>
      <x:c r="M1984" s="13"/>
      <x:c r="N1984" s="13"/>
      <x:c r="O1984" s="13"/>
      <x:c r="P1984" s="13"/>
    </x:row>
    <x:row r="1985">
      <x:c r="E1985" s="13"/>
      <x:c r="F1985" s="13"/>
      <x:c r="G1985" s="13"/>
      <x:c r="H1985" s="13"/>
      <x:c r="I1985" s="13"/>
      <x:c r="J1985" s="13"/>
      <x:c r="K1985" s="13"/>
      <x:c r="L1985" s="13"/>
      <x:c r="M1985" s="13"/>
      <x:c r="N1985" s="13"/>
      <x:c r="O1985" s="13"/>
      <x:c r="P1985" s="13"/>
    </x:row>
    <x:row r="1986">
      <x:c r="E1986" s="13"/>
      <x:c r="F1986" s="13"/>
      <x:c r="G1986" s="13"/>
      <x:c r="H1986" s="13"/>
      <x:c r="I1986" s="13"/>
      <x:c r="J1986" s="13"/>
      <x:c r="K1986" s="13"/>
      <x:c r="L1986" s="13"/>
      <x:c r="M1986" s="13"/>
      <x:c r="N1986" s="13"/>
      <x:c r="O1986" s="13"/>
      <x:c r="P1986" s="13"/>
    </x:row>
    <x:row r="1987">
      <x:c r="E1987" s="13"/>
      <x:c r="F1987" s="13"/>
      <x:c r="G1987" s="13"/>
      <x:c r="H1987" s="13"/>
      <x:c r="I1987" s="13"/>
      <x:c r="J1987" s="13"/>
      <x:c r="K1987" s="13"/>
      <x:c r="L1987" s="13"/>
      <x:c r="M1987" s="13"/>
      <x:c r="N1987" s="13"/>
      <x:c r="O1987" s="13"/>
      <x:c r="P1987" s="13"/>
    </x:row>
    <x:row r="1988">
      <x:c r="E1988" s="13"/>
      <x:c r="F1988" s="13"/>
      <x:c r="G1988" s="13"/>
      <x:c r="H1988" s="13"/>
      <x:c r="I1988" s="13"/>
      <x:c r="J1988" s="13"/>
      <x:c r="K1988" s="13"/>
      <x:c r="L1988" s="13"/>
      <x:c r="M1988" s="13"/>
      <x:c r="N1988" s="13"/>
      <x:c r="O1988" s="13"/>
      <x:c r="P1988" s="13"/>
    </x:row>
    <x:row r="1989">
      <x:c r="E1989" s="13"/>
      <x:c r="F1989" s="13"/>
      <x:c r="G1989" s="13"/>
      <x:c r="H1989" s="13"/>
      <x:c r="I1989" s="13"/>
      <x:c r="J1989" s="13"/>
      <x:c r="K1989" s="13"/>
      <x:c r="L1989" s="13"/>
      <x:c r="M1989" s="13"/>
      <x:c r="N1989" s="13"/>
      <x:c r="O1989" s="13"/>
      <x:c r="P1989" s="13"/>
    </x:row>
    <x:row r="1990">
      <x:c r="E1990" s="13"/>
      <x:c r="F1990" s="13"/>
      <x:c r="G1990" s="13"/>
      <x:c r="H1990" s="13"/>
      <x:c r="I1990" s="13"/>
      <x:c r="J1990" s="13"/>
      <x:c r="K1990" s="13"/>
      <x:c r="L1990" s="13"/>
      <x:c r="M1990" s="13"/>
      <x:c r="N1990" s="13"/>
      <x:c r="O1990" s="13"/>
      <x:c r="P1990" s="13"/>
    </x:row>
    <x:row r="1991">
      <x:c r="E1991" s="13"/>
      <x:c r="F1991" s="13"/>
      <x:c r="G1991" s="13"/>
      <x:c r="H1991" s="13"/>
      <x:c r="I1991" s="13"/>
      <x:c r="J1991" s="13"/>
      <x:c r="K1991" s="13"/>
      <x:c r="L1991" s="13"/>
      <x:c r="M1991" s="13"/>
      <x:c r="N1991" s="13"/>
      <x:c r="O1991" s="13"/>
      <x:c r="P1991" s="13"/>
    </x:row>
    <x:row r="1992">
      <x:c r="E1992" s="13"/>
      <x:c r="F1992" s="13"/>
      <x:c r="G1992" s="13"/>
      <x:c r="H1992" s="13"/>
      <x:c r="I1992" s="13"/>
      <x:c r="J1992" s="13"/>
      <x:c r="K1992" s="13"/>
      <x:c r="L1992" s="13"/>
      <x:c r="M1992" s="13"/>
      <x:c r="N1992" s="13"/>
      <x:c r="O1992" s="13"/>
      <x:c r="P1992" s="13"/>
    </x:row>
    <x:row r="1993">
      <x:c r="E1993" s="13"/>
      <x:c r="F1993" s="13"/>
      <x:c r="G1993" s="13"/>
      <x:c r="H1993" s="13"/>
      <x:c r="I1993" s="13"/>
      <x:c r="J1993" s="13"/>
      <x:c r="K1993" s="13"/>
      <x:c r="L1993" s="13"/>
      <x:c r="M1993" s="13"/>
      <x:c r="N1993" s="13"/>
      <x:c r="O1993" s="13"/>
      <x:c r="P1993" s="13"/>
    </x:row>
    <x:row r="1994">
      <x:c r="E1994" s="13"/>
      <x:c r="F1994" s="13"/>
      <x:c r="G1994" s="13"/>
      <x:c r="H1994" s="13"/>
      <x:c r="I1994" s="13"/>
      <x:c r="J1994" s="13"/>
      <x:c r="K1994" s="13"/>
      <x:c r="L1994" s="13"/>
      <x:c r="M1994" s="13"/>
      <x:c r="N1994" s="13"/>
      <x:c r="O1994" s="13"/>
      <x:c r="P1994" s="13"/>
    </x:row>
    <x:row r="1995">
      <x:c r="E1995" s="13"/>
      <x:c r="F1995" s="13"/>
      <x:c r="G1995" s="13"/>
      <x:c r="H1995" s="13"/>
      <x:c r="I1995" s="13"/>
      <x:c r="J1995" s="13"/>
      <x:c r="K1995" s="13"/>
      <x:c r="L1995" s="13"/>
      <x:c r="M1995" s="13"/>
      <x:c r="N1995" s="13"/>
      <x:c r="O1995" s="13"/>
      <x:c r="P1995" s="13"/>
    </x:row>
    <x:row r="1996">
      <x:c r="E1996" s="13"/>
      <x:c r="F1996" s="13"/>
      <x:c r="G1996" s="13"/>
      <x:c r="H1996" s="13"/>
      <x:c r="I1996" s="13"/>
      <x:c r="J1996" s="13"/>
      <x:c r="K1996" s="13"/>
      <x:c r="L1996" s="13"/>
      <x:c r="M1996" s="13"/>
      <x:c r="N1996" s="13"/>
      <x:c r="O1996" s="13"/>
      <x:c r="P1996" s="13"/>
    </x:row>
    <x:row r="1997">
      <x:c r="E1997" s="13"/>
      <x:c r="F1997" s="13"/>
      <x:c r="G1997" s="13"/>
      <x:c r="H1997" s="13"/>
      <x:c r="I1997" s="13"/>
      <x:c r="J1997" s="13"/>
      <x:c r="K1997" s="13"/>
      <x:c r="L1997" s="13"/>
      <x:c r="M1997" s="13"/>
      <x:c r="N1997" s="13"/>
      <x:c r="O1997" s="13"/>
      <x:c r="P1997" s="13"/>
    </x:row>
    <x:row r="1998">
      <x:c r="E1998" s="13"/>
      <x:c r="F1998" s="13"/>
      <x:c r="G1998" s="13"/>
      <x:c r="H1998" s="13"/>
      <x:c r="I1998" s="13"/>
      <x:c r="J1998" s="13"/>
      <x:c r="K1998" s="13"/>
      <x:c r="L1998" s="13"/>
      <x:c r="M1998" s="13"/>
      <x:c r="N1998" s="13"/>
      <x:c r="O1998" s="13"/>
      <x:c r="P1998" s="13"/>
    </x:row>
    <x:row r="1999">
      <x:c r="E1999" s="13"/>
      <x:c r="F1999" s="13"/>
      <x:c r="G1999" s="13"/>
      <x:c r="H1999" s="13"/>
      <x:c r="I1999" s="13"/>
      <x:c r="J1999" s="13"/>
      <x:c r="K1999" s="13"/>
      <x:c r="L1999" s="13"/>
      <x:c r="M1999" s="13"/>
      <x:c r="N1999" s="13"/>
      <x:c r="O1999" s="13"/>
      <x:c r="P1999" s="13"/>
    </x:row>
    <x:row r="2000">
      <x:c r="E2000" s="13"/>
      <x:c r="F2000" s="13"/>
      <x:c r="G2000" s="13"/>
      <x:c r="H2000" s="13"/>
      <x:c r="I2000" s="13"/>
      <x:c r="J2000" s="13"/>
      <x:c r="K2000" s="13"/>
      <x:c r="L2000" s="13"/>
      <x:c r="M2000" s="13"/>
      <x:c r="N2000" s="13"/>
      <x:c r="O2000" s="13"/>
      <x:c r="P2000" s="1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0" hidden="0" customWidth="1"/>
    <x:col min="4" max="4" width="20" hidden="0" customWidth="1"/>
    <x:col min="5" max="5" width="22" hidden="0" customWidth="1"/>
    <x:col min="6" max="6" width="24" hidden="0" customWidth="1"/>
    <x:col min="8" max="8" width="100" hidden="0" customWidth="1"/>
  </x:cols>
  <x:sheetData>
    <x:row r="1" ht="20" customHeight="1">
      <x:c r="A1" s="6" t="str">
        <x:v>Independent amortization benchmark</x:v>
      </x:c>
      <x:c r="B1" s="2"/>
      <x:c r="C1" s="2"/>
      <x:c r="D1" s="2"/>
      <x:c r="E1" s="2"/>
      <x:c r="F1" s="2"/>
    </x:row>
    <x:row r="2" ht="20" customHeight="1">
      <x:c r="A2" s="2"/>
      <x:c r="B2" s="2"/>
      <x:c r="C2" s="2"/>
      <x:c r="D2" s="2"/>
      <x:c r="E2" s="2"/>
      <x:c r="F2" s="2"/>
    </x:row>
    <x:row r="3" ht="20" customHeight="1">
      <x:c r="A3" s="2" t="str">
        <x:v>Original principal</x:v>
      </x:c>
      <x:c r="B3" s="19" t="n">
        <x:v>1200</x:v>
      </x:c>
      <x:c r="C3" s="2"/>
      <x:c r="D3" s="2"/>
      <x:c r="E3" s="2"/>
      <x:c r="F3" s="2"/>
      <x:c r="H3" t="str">
        <x:v>Edit the blue inputs. This isolated benchmark is not the portfolio forecast.</x:v>
      </x:c>
    </x:row>
    <x:row r="4" ht="20" customHeight="1">
      <x:c r="A4" s="2" t="str">
        <x:v>Annual nominal interest rate</x:v>
      </x:c>
      <x:c r="B4" s="21" t="n">
        <x:v>0.12</x:v>
      </x:c>
      <x:c r="C4" s="2"/>
      <x:c r="D4" s="2"/>
      <x:c r="E4" s="2"/>
      <x:c r="F4" s="2"/>
      <x:c r="H4" t="str">
        <x:v>Fixed term: 12 payments. Annual rate 0–100%; principal must be positive.</x:v>
      </x:c>
    </x:row>
    <x:row r="5" ht="20" customHeight="1">
      <x:c r="A5" s="2" t="str">
        <x:v>Payments</x:v>
      </x:c>
      <x:c r="B5" s="2" t="n">
        <x:v>12</x:v>
      </x:c>
      <x:c r="C5" s="2"/>
      <x:c r="D5" s="2"/>
      <x:c r="E5" s="2"/>
      <x:c r="F5" s="2"/>
    </x:row>
    <x:row r="6" ht="20" customHeight="1">
      <x:c r="A6" s="2" t="str">
        <x:v>Monthly interest rate</x:v>
      </x:c>
      <x:c r="B6" s="17" t="n">
        <x:f>B4/12</x:f>
        <x:v>0.01</x:v>
      </x:c>
      <x:c r="C6" s="2"/>
      <x:c r="D6" s="2"/>
      <x:c r="E6" s="2"/>
      <x:c r="F6" s="2"/>
    </x:row>
    <x:row r="7" ht="20" customHeight="1">
      <x:c r="A7" s="2"/>
      <x:c r="B7" s="2"/>
      <x:c r="C7" s="2"/>
      <x:c r="D7" s="2"/>
      <x:c r="E7" s="2"/>
      <x:c r="F7" s="2"/>
    </x:row>
    <x:row r="8" ht="20" customHeight="1">
      <x:c r="A8" s="2" t="str">
        <x:v>Monthly payment</x:v>
      </x:c>
      <x:c r="B8" s="16" t="n">
        <x:f>IF(B6=0,B3/B5,B3*B6/(1-(1+B6)^(-B5)))</x:f>
        <x:v>106.61854641400993</x:v>
      </x:c>
      <x:c r="C8" s="2"/>
      <x:c r="D8" s="2"/>
      <x:c r="E8" s="2"/>
      <x:c r="F8" s="2"/>
    </x:row>
    <x:row r="9" ht="20" customHeight="1">
      <x:c r="A9" s="2"/>
      <x:c r="B9" s="2"/>
      <x:c r="C9" s="2"/>
      <x:c r="D9" s="2"/>
      <x:c r="E9" s="2"/>
      <x:c r="F9" s="2"/>
    </x:row>
    <x:row r="10" ht="20" customHeight="1">
      <x:c r="A10" s="2"/>
      <x:c r="B10" s="2"/>
      <x:c r="C10" s="2"/>
      <x:c r="D10" s="2"/>
      <x:c r="E10" s="2"/>
      <x:c r="F10" s="2"/>
    </x:row>
    <x:row r="11" ht="34" customHeight="1">
      <x:c r="A11" s="9" t="str">
        <x:v>Payment month</x:v>
      </x:c>
      <x:c r="B11" s="9" t="str">
        <x:v>Opening principal</x:v>
      </x:c>
      <x:c r="C11" s="9" t="str">
        <x:v>Payment</x:v>
      </x:c>
      <x:c r="D11" s="9" t="str">
        <x:v>Interest</x:v>
      </x:c>
      <x:c r="E11" s="9" t="str">
        <x:v>Principal paid</x:v>
      </x:c>
      <x:c r="F11" s="9" t="str">
        <x:v>Ending principal</x:v>
      </x:c>
    </x:row>
    <x:row r="12" ht="20" customHeight="1">
      <x:c r="A12" s="2" t="n">
        <x:v>1</x:v>
      </x:c>
      <x:c r="B12" s="16" t="n">
        <x:f>$B$3</x:f>
        <x:v>1200</x:v>
      </x:c>
      <x:c r="C12" s="16" t="n">
        <x:f>IF(A12=$B$5,B12+D12,$B$8)</x:f>
        <x:v>106.61854641400993</x:v>
      </x:c>
      <x:c r="D12" s="16" t="n">
        <x:f>B12*$B$6</x:f>
        <x:v>12</x:v>
      </x:c>
      <x:c r="E12" s="16" t="n">
        <x:f>MIN(B12,C12-D12)</x:f>
        <x:v>94.61854641400993</x:v>
      </x:c>
      <x:c r="F12" s="16" t="n">
        <x:f>B12-E12</x:f>
        <x:v>1105.3814535859901</x:v>
      </x:c>
    </x:row>
    <x:row r="13" ht="20" customHeight="1">
      <x:c r="A13" s="2" t="n">
        <x:v>2</x:v>
      </x:c>
      <x:c r="B13" s="16" t="n">
        <x:f>F12</x:f>
        <x:v>1105.3814535859901</x:v>
      </x:c>
      <x:c r="C13" s="16" t="n">
        <x:f>IF(A13=$B$5,B13+D13,$B$8)</x:f>
        <x:v>106.61854641400993</x:v>
      </x:c>
      <x:c r="D13" s="16" t="n">
        <x:f>B13*$B$6</x:f>
        <x:v>11.053814535859901</x:v>
      </x:c>
      <x:c r="E13" s="16" t="n">
        <x:f>MIN(B13,C13-D13)</x:f>
        <x:v>95.56473187815003</x:v>
      </x:c>
      <x:c r="F13" s="16" t="n">
        <x:f>B13-E13</x:f>
        <x:v>1009.8167217078401</x:v>
      </x:c>
    </x:row>
    <x:row r="14" ht="20" customHeight="1">
      <x:c r="A14" s="2" t="n">
        <x:v>3</x:v>
      </x:c>
      <x:c r="B14" s="16" t="n">
        <x:f>F13</x:f>
        <x:v>1009.8167217078401</x:v>
      </x:c>
      <x:c r="C14" s="16" t="n">
        <x:f>IF(A14=$B$5,B14+D14,$B$8)</x:f>
        <x:v>106.61854641400993</x:v>
      </x:c>
      <x:c r="D14" s="16" t="n">
        <x:f>B14*$B$6</x:f>
        <x:v>10.098167217078402</x:v>
      </x:c>
      <x:c r="E14" s="16" t="n">
        <x:f>MIN(B14,C14-D14)</x:f>
        <x:v>96.52037919693153</x:v>
      </x:c>
      <x:c r="F14" s="16" t="n">
        <x:f>B14-E14</x:f>
        <x:v>913.2963425109085</x:v>
      </x:c>
    </x:row>
    <x:row r="15" ht="20" customHeight="1">
      <x:c r="A15" s="2" t="n">
        <x:v>4</x:v>
      </x:c>
      <x:c r="B15" s="16" t="n">
        <x:f>F14</x:f>
        <x:v>913.2963425109085</x:v>
      </x:c>
      <x:c r="C15" s="16" t="n">
        <x:f>IF(A15=$B$5,B15+D15,$B$8)</x:f>
        <x:v>106.61854641400993</x:v>
      </x:c>
      <x:c r="D15" s="16" t="n">
        <x:f>B15*$B$6</x:f>
        <x:v>9.132963425109086</x:v>
      </x:c>
      <x:c r="E15" s="16" t="n">
        <x:f>MIN(B15,C15-D15)</x:f>
        <x:v>97.48558298890084</x:v>
      </x:c>
      <x:c r="F15" s="16" t="n">
        <x:f>B15-E15</x:f>
        <x:v>815.8107595220076</x:v>
      </x:c>
    </x:row>
    <x:row r="16" ht="20" customHeight="1">
      <x:c r="A16" s="2" t="n">
        <x:v>5</x:v>
      </x:c>
      <x:c r="B16" s="16" t="n">
        <x:f>F15</x:f>
        <x:v>815.8107595220076</x:v>
      </x:c>
      <x:c r="C16" s="16" t="n">
        <x:f>IF(A16=$B$5,B16+D16,$B$8)</x:f>
        <x:v>106.61854641400993</x:v>
      </x:c>
      <x:c r="D16" s="16" t="n">
        <x:f>B16*$B$6</x:f>
        <x:v>8.158107595220077</x:v>
      </x:c>
      <x:c r="E16" s="16" t="n">
        <x:f>MIN(B16,C16-D16)</x:f>
        <x:v>98.46043881878985</x:v>
      </x:c>
      <x:c r="F16" s="16" t="n">
        <x:f>B16-E16</x:f>
        <x:v>717.3503207032178</x:v>
      </x:c>
    </x:row>
    <x:row r="17" ht="20" customHeight="1">
      <x:c r="A17" s="2" t="n">
        <x:v>6</x:v>
      </x:c>
      <x:c r="B17" s="16" t="n">
        <x:f>F16</x:f>
        <x:v>717.3503207032178</x:v>
      </x:c>
      <x:c r="C17" s="16" t="n">
        <x:f>IF(A17=$B$5,B17+D17,$B$8)</x:f>
        <x:v>106.61854641400993</x:v>
      </x:c>
      <x:c r="D17" s="16" t="n">
        <x:f>B17*$B$6</x:f>
        <x:v>7.173503207032178</x:v>
      </x:c>
      <x:c r="E17" s="16" t="n">
        <x:f>MIN(B17,C17-D17)</x:f>
        <x:v>99.44504320697774</x:v>
      </x:c>
      <x:c r="F17" s="16" t="n">
        <x:f>B17-E17</x:f>
        <x:v>617.90527749624</x:v>
      </x:c>
    </x:row>
    <x:row r="18" ht="20" customHeight="1">
      <x:c r="A18" s="2" t="n">
        <x:v>7</x:v>
      </x:c>
      <x:c r="B18" s="16" t="n">
        <x:f>F17</x:f>
        <x:v>617.90527749624</x:v>
      </x:c>
      <x:c r="C18" s="16" t="n">
        <x:f>IF(A18=$B$5,B18+D18,$B$8)</x:f>
        <x:v>106.61854641400993</x:v>
      </x:c>
      <x:c r="D18" s="16" t="n">
        <x:f>B18*$B$6</x:f>
        <x:v>6.1790527749624005</x:v>
      </x:c>
      <x:c r="E18" s="16" t="n">
        <x:f>MIN(B18,C18-D18)</x:f>
        <x:v>100.43949363904753</x:v>
      </x:c>
      <x:c r="F18" s="16" t="n">
        <x:f>B18-E18</x:f>
        <x:v>517.4657838571925</x:v>
      </x:c>
    </x:row>
    <x:row r="19" ht="20" customHeight="1">
      <x:c r="A19" s="2" t="n">
        <x:v>8</x:v>
      </x:c>
      <x:c r="B19" s="16" t="n">
        <x:f>F18</x:f>
        <x:v>517.4657838571925</x:v>
      </x:c>
      <x:c r="C19" s="16" t="n">
        <x:f>IF(A19=$B$5,B19+D19,$B$8)</x:f>
        <x:v>106.61854641400993</x:v>
      </x:c>
      <x:c r="D19" s="16" t="n">
        <x:f>B19*$B$6</x:f>
        <x:v>5.174657838571925</x:v>
      </x:c>
      <x:c r="E19" s="16" t="n">
        <x:f>MIN(B19,C19-D19)</x:f>
        <x:v>101.443888575438</x:v>
      </x:c>
      <x:c r="F19" s="16" t="n">
        <x:f>B19-E19</x:f>
        <x:v>416.0218952817545</x:v>
      </x:c>
    </x:row>
    <x:row r="20" ht="20" customHeight="1">
      <x:c r="A20" s="2" t="n">
        <x:v>9</x:v>
      </x:c>
      <x:c r="B20" s="16" t="n">
        <x:f>F19</x:f>
        <x:v>416.0218952817545</x:v>
      </x:c>
      <x:c r="C20" s="16" t="n">
        <x:f>IF(A20=$B$5,B20+D20,$B$8)</x:f>
        <x:v>106.61854641400993</x:v>
      </x:c>
      <x:c r="D20" s="16" t="n">
        <x:f>B20*$B$6</x:f>
        <x:v>4.160218952817545</x:v>
      </x:c>
      <x:c r="E20" s="16" t="n">
        <x:f>MIN(B20,C20-D20)</x:f>
        <x:v>102.45832746119238</x:v>
      </x:c>
      <x:c r="F20" s="16" t="n">
        <x:f>B20-E20</x:f>
        <x:v>313.5635678205621</x:v>
      </x:c>
    </x:row>
    <x:row r="21" ht="20" customHeight="1">
      <x:c r="A21" s="2" t="n">
        <x:v>10</x:v>
      </x:c>
      <x:c r="B21" s="16" t="n">
        <x:f>F20</x:f>
        <x:v>313.5635678205621</x:v>
      </x:c>
      <x:c r="C21" s="16" t="n">
        <x:f>IF(A21=$B$5,B21+D21,$B$8)</x:f>
        <x:v>106.61854641400993</x:v>
      </x:c>
      <x:c r="D21" s="16" t="n">
        <x:f>B21*$B$6</x:f>
        <x:v>3.135635678205621</x:v>
      </x:c>
      <x:c r="E21" s="16" t="n">
        <x:f>MIN(B21,C21-D21)</x:f>
        <x:v>103.48291073580431</x:v>
      </x:c>
      <x:c r="F21" s="16" t="n">
        <x:f>B21-E21</x:f>
        <x:v>210.08065708475783</x:v>
      </x:c>
    </x:row>
    <x:row r="22" ht="20" customHeight="1">
      <x:c r="A22" s="2" t="n">
        <x:v>11</x:v>
      </x:c>
      <x:c r="B22" s="16" t="n">
        <x:f>F21</x:f>
        <x:v>210.08065708475783</x:v>
      </x:c>
      <x:c r="C22" s="16" t="n">
        <x:f>IF(A22=$B$5,B22+D22,$B$8)</x:f>
        <x:v>106.61854641400993</x:v>
      </x:c>
      <x:c r="D22" s="16" t="n">
        <x:f>B22*$B$6</x:f>
        <x:v>2.1008065708475785</x:v>
      </x:c>
      <x:c r="E22" s="16" t="n">
        <x:f>MIN(B22,C22-D22)</x:f>
        <x:v>104.51773984316235</x:v>
      </x:c>
      <x:c r="F22" s="16" t="n">
        <x:f>B22-E22</x:f>
        <x:v>105.56291724159549</x:v>
      </x:c>
    </x:row>
    <x:row r="23" ht="20" customHeight="1">
      <x:c r="A23" s="2" t="n">
        <x:v>12</x:v>
      </x:c>
      <x:c r="B23" s="16" t="n">
        <x:f>F22</x:f>
        <x:v>105.56291724159549</x:v>
      </x:c>
      <x:c r="C23" s="16" t="n">
        <x:f>IF(A23=$B$5,B23+D23,$B$8)</x:f>
        <x:v>106.61854641401143</x:v>
      </x:c>
      <x:c r="D23" s="16" t="n">
        <x:f>B23*$B$6</x:f>
        <x:v>1.0556291724159548</x:v>
      </x:c>
      <x:c r="E23" s="16" t="n">
        <x:f>MIN(B23,C23-D23)</x:f>
        <x:v>105.56291724159549</x:v>
      </x:c>
      <x:c r="F23" s="16" t="n">
        <x:f>B23-E23</x:f>
        <x:v>0</x:v>
      </x:c>
    </x:row>
    <x:row r="24" ht="20" customHeight="1">
      <x:c r="A24" s="2"/>
      <x:c r="B24" s="2"/>
      <x:c r="C24" s="2"/>
      <x:c r="D24" s="2"/>
      <x:c r="E24" s="2"/>
      <x:c r="F24" s="2"/>
    </x:row>
    <x:row r="25" ht="20" customHeight="1">
      <x:c r="A25" s="2" t="str">
        <x:v>Total interest</x:v>
      </x:c>
      <x:c r="B25" s="16" t="n">
        <x:f>SUM(D12:D23)</x:f>
        <x:v>79.42255696812065</x:v>
      </x:c>
      <x:c r="C25" s="2"/>
      <x:c r="D25" s="2"/>
      <x:c r="E25" s="2"/>
      <x:c r="F25" s="2"/>
    </x:row>
    <x:row r="26" ht="20" customHeight="1">
      <x:c r="A26" s="2" t="str">
        <x:v>Total principal paid</x:v>
      </x:c>
      <x:c r="B26" s="16" t="n">
        <x:f>SUM(E12:E23)</x:f>
        <x:v>1200</x:v>
      </x:c>
      <x:c r="C26" s="2"/>
      <x:c r="D26" s="2"/>
      <x:c r="E26" s="2"/>
      <x:c r="F26" s="2"/>
    </x:row>
  </x:sheetData>
  <x:dataValidations count="3">
    <x:dataValidation type="decimal" operator="greaterThan" sqref="B3">
      <x:formula1>0</x:formula1>
    </x:dataValidation>
    <x:dataValidation type="decimal" operator="between" sqref="B4">
      <x:formula1>0</x:formula1>
      <x:formula2>1</x:formula2>
    </x:dataValidation>
    <x:dataValidation type="whole" operator="equal" sqref="B5">
      <x:formula1>12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100" hidden="0" customWidth="1"/>
  </x:cols>
  <x:sheetData>
    <x:row r="1" ht="20" customHeight="1">
      <x:c r="A1" s="6" t="str">
        <x:v>Independent default and recovery benchmark</x:v>
      </x:c>
      <x:c r="B1" s="2"/>
      <x:c r="C1" s="2"/>
      <x:c r="D1" s="2"/>
      <x:c r="E1" s="2"/>
      <x:c r="F1" s="2"/>
      <x:c r="G1" s="2"/>
    </x:row>
    <x:row r="2" ht="20" customHeight="1">
      <x:c r="A2" s="2"/>
      <x:c r="B2" s="2"/>
      <x:c r="C2" s="2"/>
      <x:c r="D2" s="2"/>
      <x:c r="E2" s="2"/>
      <x:c r="F2" s="2"/>
      <x:c r="G2" s="2"/>
    </x:row>
    <x:row r="3" ht="20" customHeight="1">
      <x:c r="A3" s="2" t="str">
        <x:v>Principal at origination</x:v>
      </x:c>
      <x:c r="B3" s="19" t="n">
        <x:v>900</x:v>
      </x:c>
      <x:c r="C3" s="2"/>
      <x:c r="D3" s="2"/>
      <x:c r="E3" s="2"/>
      <x:c r="F3" s="2"/>
      <x:c r="G3" s="2"/>
      <x:c r="H3" t="str">
        <x:v>Charge-off reduces the asset; the original advance was the cash outflow.</x:v>
      </x:c>
    </x:row>
    <x:row r="4" ht="20" customHeight="1">
      <x:c r="A4" s="2" t="str">
        <x:v>Default month</x:v>
      </x:c>
      <x:c r="B4" s="2" t="n">
        <x:v>1</x:v>
      </x:c>
      <x:c r="C4" s="2"/>
      <x:c r="D4" s="2"/>
      <x:c r="E4" s="2"/>
      <x:c r="F4" s="2"/>
      <x:c r="G4" s="2"/>
      <x:c r="H4" t="str">
        <x:v>Default month fixed at 1. Recovery lag 0–3 months.</x:v>
      </x:c>
    </x:row>
    <x:row r="5" ht="20" customHeight="1">
      <x:c r="A5" s="2" t="str">
        <x:v>Recovery fraction</x:v>
      </x:c>
      <x:c r="B5" s="21" t="n">
        <x:v>0.25</x:v>
      </x:c>
      <x:c r="C5" s="2"/>
      <x:c r="D5" s="2"/>
      <x:c r="E5" s="2"/>
      <x:c r="F5" s="2"/>
      <x:c r="G5" s="2"/>
    </x:row>
    <x:row r="6" ht="20" customHeight="1">
      <x:c r="A6" s="2" t="str">
        <x:v>Recovery lag (months)</x:v>
      </x:c>
      <x:c r="B6" s="23" t="n">
        <x:v>3</x:v>
      </x:c>
      <x:c r="C6" s="2"/>
      <x:c r="D6" s="2"/>
      <x:c r="E6" s="2"/>
      <x:c r="F6" s="2"/>
      <x:c r="G6" s="2"/>
    </x:row>
    <x:row r="7" ht="20" customHeight="1">
      <x:c r="A7" s="2" t="str">
        <x:v>Full-runoff net principal loss</x:v>
      </x:c>
      <x:c r="B7" s="16" t="n">
        <x:f>B3*(1-B5)</x:f>
        <x:v>675</x:v>
      </x:c>
      <x:c r="C7" s="2"/>
      <x:c r="D7" s="2"/>
      <x:c r="E7" s="2"/>
      <x:c r="F7" s="2"/>
      <x:c r="G7" s="2"/>
    </x:row>
    <x:row r="8" ht="20" customHeight="1">
      <x:c r="A8" s="2"/>
      <x:c r="B8" s="2"/>
      <x:c r="C8" s="2"/>
      <x:c r="D8" s="2"/>
      <x:c r="E8" s="2"/>
      <x:c r="F8" s="2"/>
      <x:c r="G8" s="2"/>
    </x:row>
    <x:row r="9" ht="20" customHeight="1">
      <x:c r="A9" s="2"/>
      <x:c r="B9" s="2"/>
      <x:c r="C9" s="2"/>
      <x:c r="D9" s="2"/>
      <x:c r="E9" s="2"/>
      <x:c r="F9" s="2"/>
      <x:c r="G9" s="2"/>
    </x:row>
    <x:row r="10" ht="20" customHeight="1">
      <x:c r="A10" s="2"/>
      <x:c r="B10" s="2"/>
      <x:c r="C10" s="2"/>
      <x:c r="D10" s="2"/>
      <x:c r="E10" s="2"/>
      <x:c r="F10" s="2"/>
      <x:c r="G10" s="2"/>
    </x:row>
    <x:row r="11" ht="34" customHeight="1">
      <x:c r="A11" s="9" t="str">
        <x:v>Month</x:v>
      </x:c>
      <x:c r="B11" s="9" t="str">
        <x:v>Opening principal</x:v>
      </x:c>
      <x:c r="C11" s="9" t="str">
        <x:v>Originations</x:v>
      </x:c>
      <x:c r="D11" s="9" t="str">
        <x:v>Charge-offs</x:v>
      </x:c>
      <x:c r="E11" s="9" t="str">
        <x:v>Recoveries</x:v>
      </x:c>
      <x:c r="F11" s="9" t="str">
        <x:v>Ending principal</x:v>
      </x:c>
      <x:c r="G11" s="9" t="str">
        <x:v>Net loss</x:v>
      </x:c>
    </x:row>
    <x:row r="12" ht="20" customHeight="1">
      <x:c r="A12" s="2" t="n">
        <x:v>0</x:v>
      </x:c>
      <x:c r="B12" s="16" t="n">
        <x:f>0</x:f>
        <x:v>0</x:v>
      </x:c>
      <x:c r="C12" s="16" t="n">
        <x:f>IF(A12=0,$B$3,0)</x:f>
        <x:v>900</x:v>
      </x:c>
      <x:c r="D12" s="16" t="n">
        <x:f>IF(A12=$B$4,B12,0)</x:f>
        <x:v>0</x:v>
      </x:c>
      <x:c r="E12" s="16" t="n">
        <x:f>IF(A12=$B$4+$B$6,$B$3*$B$5,0)</x:f>
        <x:v>0</x:v>
      </x:c>
      <x:c r="F12" s="16" t="n">
        <x:f>B12+C12-D12</x:f>
        <x:v>900</x:v>
      </x:c>
      <x:c r="G12" s="16" t="n">
        <x:f>D12-E12</x:f>
        <x:v>0</x:v>
      </x:c>
    </x:row>
    <x:row r="13" ht="20" customHeight="1">
      <x:c r="A13" s="2" t="n">
        <x:v>1</x:v>
      </x:c>
      <x:c r="B13" s="16" t="n">
        <x:f>F12</x:f>
        <x:v>900</x:v>
      </x:c>
      <x:c r="C13" s="16" t="n">
        <x:f>IF(A13=0,$B$3,0)</x:f>
        <x:v>0</x:v>
      </x:c>
      <x:c r="D13" s="16" t="n">
        <x:f>IF(A13=$B$4,B13,0)</x:f>
        <x:v>900</x:v>
      </x:c>
      <x:c r="E13" s="16" t="n">
        <x:f>IF(A13=$B$4+$B$6,$B$3*$B$5,0)</x:f>
        <x:v>0</x:v>
      </x:c>
      <x:c r="F13" s="16" t="n">
        <x:f>B13+C13-D13</x:f>
        <x:v>0</x:v>
      </x:c>
      <x:c r="G13" s="16" t="n">
        <x:f>D13-E13</x:f>
        <x:v>900</x:v>
      </x:c>
    </x:row>
    <x:row r="14" ht="20" customHeight="1">
      <x:c r="A14" s="2" t="n">
        <x:v>2</x:v>
      </x:c>
      <x:c r="B14" s="16" t="n">
        <x:f>F13</x:f>
        <x:v>0</x:v>
      </x:c>
      <x:c r="C14" s="16" t="n">
        <x:f>IF(A14=0,$B$3,0)</x:f>
        <x:v>0</x:v>
      </x:c>
      <x:c r="D14" s="16" t="n">
        <x:f>IF(A14=$B$4,B14,0)</x:f>
        <x:v>0</x:v>
      </x:c>
      <x:c r="E14" s="16" t="n">
        <x:f>IF(A14=$B$4+$B$6,$B$3*$B$5,0)</x:f>
        <x:v>0</x:v>
      </x:c>
      <x:c r="F14" s="16" t="n">
        <x:f>B14+C14-D14</x:f>
        <x:v>0</x:v>
      </x:c>
      <x:c r="G14" s="16" t="n">
        <x:f>D14-E14</x:f>
        <x:v>0</x:v>
      </x:c>
    </x:row>
    <x:row r="15" ht="20" customHeight="1">
      <x:c r="A15" s="2" t="n">
        <x:v>3</x:v>
      </x:c>
      <x:c r="B15" s="16" t="n">
        <x:f>F14</x:f>
        <x:v>0</x:v>
      </x:c>
      <x:c r="C15" s="16" t="n">
        <x:f>IF(A15=0,$B$3,0)</x:f>
        <x:v>0</x:v>
      </x:c>
      <x:c r="D15" s="16" t="n">
        <x:f>IF(A15=$B$4,B15,0)</x:f>
        <x:v>0</x:v>
      </x:c>
      <x:c r="E15" s="16" t="n">
        <x:f>IF(A15=$B$4+$B$6,$B$3*$B$5,0)</x:f>
        <x:v>0</x:v>
      </x:c>
      <x:c r="F15" s="16" t="n">
        <x:f>B15+C15-D15</x:f>
        <x:v>0</x:v>
      </x:c>
      <x:c r="G15" s="16" t="n">
        <x:f>D15-E15</x:f>
        <x:v>0</x:v>
      </x:c>
    </x:row>
    <x:row r="16" ht="20" customHeight="1">
      <x:c r="A16" s="2" t="n">
        <x:v>4</x:v>
      </x:c>
      <x:c r="B16" s="16" t="n">
        <x:f>F15</x:f>
        <x:v>0</x:v>
      </x:c>
      <x:c r="C16" s="16" t="n">
        <x:f>IF(A16=0,$B$3,0)</x:f>
        <x:v>0</x:v>
      </x:c>
      <x:c r="D16" s="16" t="n">
        <x:f>IF(A16=$B$4,B16,0)</x:f>
        <x:v>0</x:v>
      </x:c>
      <x:c r="E16" s="16" t="n">
        <x:f>IF(A16=$B$4+$B$6,$B$3*$B$5,0)</x:f>
        <x:v>225</x:v>
      </x:c>
      <x:c r="F16" s="16" t="n">
        <x:f>B16+C16-D16</x:f>
        <x:v>0</x:v>
      </x:c>
      <x:c r="G16" s="16" t="n">
        <x:f>D16-E16</x:f>
        <x:v>-225</x:v>
      </x:c>
    </x:row>
  </x:sheetData>
  <x:dataValidations count="4">
    <x:dataValidation type="decimal" operator="greaterThan" sqref="B3">
      <x:formula1>0</x:formula1>
    </x:dataValidation>
    <x:dataValidation type="whole" operator="equal" sqref="B4">
      <x:formula1>1</x:formula1>
    </x:dataValidation>
    <x:dataValidation type="decimal" operator="between" sqref="B5">
      <x:formula1>0</x:formula1>
      <x:formula2>1</x:formula2>
    </x:dataValidation>
    <x:dataValidation type="whole" operator="between" sqref="B6">
      <x:formula1>0</x:formula1>
      <x:formula2>3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5" hidden="0" customWidth="1"/>
    <x:col min="2" max="2" width="28" hidden="0" customWidth="1"/>
    <x:col min="3" max="3" width="28" hidden="0" customWidth="1"/>
  </x:cols>
  <x:sheetData>
    <x:row r="1" ht="36" customHeight="1">
      <x:c r="A1" s="9" t="str">
        <x:v>Financial reconciliation (USD)</x:v>
      </x:c>
      <x:c r="B1" s="9" t="str">
        <x:v>Maximum absolute difference</x:v>
      </x:c>
      <x:c r="C1" s="9" t="str">
        <x:v>Internal tolerance</x:v>
      </x:c>
    </x:row>
    <x:row r="2" ht="20" customHeight="1">
      <x:c r="A2" s="2" t="str">
        <x:v>Loan roll-forward</x:v>
      </x:c>
      <x:c r="B2" s="24" t="n">
        <x:v>1e-27</x:v>
      </x:c>
      <x:c r="C2" s="25" t="n">
        <x:v>1e-16</x:v>
      </x:c>
    </x:row>
    <x:row r="3" ht="20" customHeight="1">
      <x:c r="A3" s="2" t="str">
        <x:v>Debt roll-forward</x:v>
      </x:c>
      <x:c r="B3" s="24" t="n">
        <x:v>0</x:v>
      </x:c>
      <x:c r="C3" s="25" t="n">
        <x:v>1e-16</x:v>
      </x:c>
    </x:row>
    <x:row r="4" ht="20" customHeight="1">
      <x:c r="A4" s="2" t="str">
        <x:v>Cash roll-forward</x:v>
      </x:c>
      <x:c r="B4" s="24" t="n">
        <x:v>0</x:v>
      </x:c>
      <x:c r="C4" s="25" t="n">
        <x:v>1e-16</x:v>
      </x:c>
    </x:row>
    <x:row r="5" ht="20" customHeight="1">
      <x:c r="A5" s="2" t="str">
        <x:v>Simplified equity identity</x:v>
      </x:c>
      <x:c r="B5" s="24" t="n">
        <x:v>1.45e-27</x:v>
      </x:c>
      <x:c r="C5" s="25" t="n">
        <x:v>1e-16</x:v>
      </x:c>
    </x:row>
    <x:row r="6" ht="20" customHeight="1">
      <x:c r="A6" s="2" t="str">
        <x:v>Cohort / portfolio</x:v>
      </x:c>
      <x:c r="B6" s="24" t="n">
        <x:v>1e-28</x:v>
      </x:c>
      <x:c r="C6" s="25" t="n">
        <x:v>1e-16</x:v>
      </x:c>
    </x:row>
    <x:row r="7" ht="20" customHeight="1">
      <x:c r="A7" s="2" t="str">
        <x:v>Full runoff / recoveries</x:v>
      </x:c>
      <x:c r="B7" s="24" t="n">
        <x:v>1e-29</x:v>
      </x:c>
      <x:c r="C7" s="25" t="n">
        <x:v>1e-16</x:v>
      </x:c>
    </x:row>
    <x:row r="8" ht="20" customHeight="1">
      <x:c r="A8" s="2"/>
      <x:c r="B8" s="2"/>
      <x:c r="C8" s="2"/>
    </x:row>
    <x:row r="9" ht="20" customHeight="1">
      <x:c r="A9" s="2" t="str">
        <x:v>These saved checks refer to the manifest's run. They do not validate edits to snapshots.</x:v>
      </x:c>
      <x:c r="B9" s="2"/>
      <x:c r="C9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5" hidden="0" customWidth="1"/>
    <x:col min="3" max="3" width="110" hidden="0" customWidth="1"/>
  </x:cols>
  <x:sheetData>
    <x:row r="1" ht="36" customHeight="1">
      <x:c r="A1" s="9" t="str">
        <x:v>Historical evidence</x:v>
      </x:c>
      <x:c r="B1" s="9" t="str">
        <x:v>URL</x:v>
      </x:c>
      <x:c r="C1" s="9" t="str">
        <x:v>Use / limitation</x:v>
      </x:c>
    </x:row>
    <x:row r="2" ht="20" customHeight="1">
      <x:c r="A2" s="2" t="str">
        <x:v>Prosper Funding LLC / SEC</x:v>
      </x:c>
      <x:c r="B2" s="2" t="str">
        <x:v>https://www.sec.gov/Archives/edgar/data/1416265/000141626526000038/prospectus-september2026.htm</x:v>
      </x:c>
      <x:c r="C2" s="2" t="str">
        <x:v>Term, population, and fee structure differ from the hypothetical 12-month merchant-financed product.</x:v>
      </x:c>
    </x:row>
    <x:row r="3" ht="20" customHeight="1">
      <x:c r="A3" s="2" t="str">
        <x:v>Prosper</x:v>
      </x:c>
      <x:c r="B3" s="2" t="str">
        <x:v>https://help.prosper.com/hc/en-us/articles/210013083-Where-can-I-download-data-about-loans-through-Prosper</x:v>
      </x:c>
      <x:c r="C3" s="2" t="str">
        <x:v>Loan-level API access requires a valid account; the monthly loan file requires a Data License Agreement. Neither was obtained for this project.</x:v>
      </x:c>
    </x:row>
    <x:row r="4" ht="20" customHeight="1">
      <x:c r="A4" s="2" t="str">
        <x:v>UCI Machine Learning Repository</x:v>
      </x:c>
      <x:c r="B4" s="2" t="str">
        <x:v>https://archive.ics.uci.edu/dataset/350/default</x:v>
      </x:c>
      <x:c r="C4" s="2" t="str">
        <x:v>Revolving credit and a short default-payment target do not calibrate lifetime default on a 12-month US installment loan.</x:v>
      </x:c>
    </x:row>
  </x:sheetData>
  <x:pageMargins left="0.7" right="0.7" top="0.75" bottom="0.75" header="0.3" footer="0.3"/>
</x:worksheet>
</file>